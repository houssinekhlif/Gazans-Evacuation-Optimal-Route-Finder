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650\Downloads\final network csvs\"/>
    </mc:Choice>
  </mc:AlternateContent>
  <xr:revisionPtr revIDLastSave="0" documentId="13_ncr:1_{92BABEF1-F3BF-4FA5-8D65-6B7815E06F18}" xr6:coauthVersionLast="47" xr6:coauthVersionMax="47" xr10:uidLastSave="{00000000-0000-0000-0000-000000000000}"/>
  <bookViews>
    <workbookView xWindow="-108" yWindow="-108" windowWidth="23256" windowHeight="12456" xr2:uid="{987C551E-E8F5-46F2-BCC8-E2C17D2C5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3" i="1"/>
</calcChain>
</file>

<file path=xl/sharedStrings.xml><?xml version="1.0" encoding="utf-8"?>
<sst xmlns="http://schemas.openxmlformats.org/spreadsheetml/2006/main" count="265" uniqueCount="70">
  <si>
    <t>From</t>
  </si>
  <si>
    <t>To</t>
  </si>
  <si>
    <t>Beit Hanoun</t>
  </si>
  <si>
    <t>Beit Lahia</t>
  </si>
  <si>
    <t>Jabalia</t>
  </si>
  <si>
    <t>Atatra</t>
  </si>
  <si>
    <t>Al-Shati</t>
  </si>
  <si>
    <t>Rimal</t>
  </si>
  <si>
    <t>Tuffah neighborhood park</t>
  </si>
  <si>
    <t>Shuja'iyya</t>
  </si>
  <si>
    <t>Zeitoun</t>
  </si>
  <si>
    <t>Sheikh Radwan</t>
  </si>
  <si>
    <t>Nuseirat</t>
  </si>
  <si>
    <t>Bureij</t>
  </si>
  <si>
    <t>Maghazi</t>
  </si>
  <si>
    <t>Az Zawayda</t>
  </si>
  <si>
    <t>Deir al Balah</t>
  </si>
  <si>
    <t>Al Musaddar</t>
  </si>
  <si>
    <t>Abasan al-Kabira</t>
  </si>
  <si>
    <t>Abasan al-Saghira</t>
  </si>
  <si>
    <t>Bani Suheila</t>
  </si>
  <si>
    <t>Khuza'a</t>
  </si>
  <si>
    <t>Al Qarara</t>
  </si>
  <si>
    <t>Al Fukhkhari</t>
  </si>
  <si>
    <t>Rafah Camp</t>
  </si>
  <si>
    <t>Tal as Sultan</t>
  </si>
  <si>
    <t>مستشفي الخير</t>
  </si>
  <si>
    <t>مدرسة الفاخورة</t>
  </si>
  <si>
    <t>Al Quds Open University - Gaza Branch</t>
  </si>
  <si>
    <t>مستشفى الشفا - مبنى الحروق</t>
  </si>
  <si>
    <t>Gaza field hospital of the Jordanian-</t>
  </si>
  <si>
    <t>UNRWA-GFO</t>
  </si>
  <si>
    <t>مستشفى شهداء الاقصى</t>
  </si>
  <si>
    <t>جامعة الازهر كلية الحقوق المغراقة</t>
  </si>
  <si>
    <t>Islamic University - khanyonuis</t>
  </si>
  <si>
    <t>UNRWA vocational college</t>
  </si>
  <si>
    <t>Name</t>
  </si>
  <si>
    <t>Y</t>
  </si>
  <si>
    <t>X</t>
  </si>
  <si>
    <t>Type</t>
  </si>
  <si>
    <t>Risk</t>
  </si>
  <si>
    <t>HumanitarianAid</t>
  </si>
  <si>
    <t>Civilians</t>
  </si>
  <si>
    <t>Sabra</t>
  </si>
  <si>
    <t>Destination</t>
  </si>
  <si>
    <t>north gaza int</t>
  </si>
  <si>
    <t>Intersection</t>
  </si>
  <si>
    <t>gaza city int</t>
  </si>
  <si>
    <t>middle camps int</t>
  </si>
  <si>
    <t>khan younes int</t>
  </si>
  <si>
    <t>Rafah int</t>
  </si>
  <si>
    <t>danger</t>
  </si>
  <si>
    <t>distance</t>
  </si>
  <si>
    <t>humanitarian</t>
  </si>
  <si>
    <t>coefficients by factor</t>
  </si>
  <si>
    <t>EDGES MATRIX</t>
  </si>
  <si>
    <t>NODES MATRIX</t>
  </si>
  <si>
    <t>Scenario 1: Minimizing Risk</t>
  </si>
  <si>
    <t>Scenario 2: Minimizing Distance Travelled</t>
  </si>
  <si>
    <t>Scenario 3: Maximizing Aid Availability</t>
  </si>
  <si>
    <t>Distance Normalized</t>
  </si>
  <si>
    <t>Edge Weight Humanitarian Aid Normalized</t>
  </si>
  <si>
    <t>Edge Risk Normalized</t>
  </si>
  <si>
    <t>Edge Risk</t>
  </si>
  <si>
    <t>Humanitarian Scenario Weights</t>
  </si>
  <si>
    <t>Distance Scenario Weights</t>
  </si>
  <si>
    <t>Danger Scenario Weights</t>
  </si>
  <si>
    <t>Edge Humanitarian Aid</t>
  </si>
  <si>
    <t>Distance (KM)</t>
  </si>
  <si>
    <t>Sceanrio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</si>
</sst>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22"/>
      <color theme="0"/>
      <name val="Arial"/>
      <family val="2"/>
    </font>
    <font>
      <b/>
      <sz val="2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3300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/>
      <right style="thin">
        <color indexed="64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2" fontId="0" fillId="0" borderId="20" xfId="1" applyNumberFormat="1" applyFont="1" applyBorder="1" applyAlignment="1">
      <alignment horizontal="center" vertical="center"/>
    </xf>
    <xf numFmtId="2" fontId="0" fillId="0" borderId="7" xfId="1" applyNumberFormat="1" applyFon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4" fillId="6" borderId="19" xfId="0" applyNumberFormat="1" applyFont="1" applyFill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5"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FF33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FF33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805573-3998-4002-9119-6EF1F403BBAB}" name="Table3" displayName="Table3" ref="A2:K81" totalsRowShown="0" headerRowDxfId="24" dataDxfId="23" tableBorderDxfId="22">
  <autoFilter ref="A2:K81" xr:uid="{C6805573-3998-4002-9119-6EF1F403BB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F11B56A-785D-40A8-A19D-2ACE0A5F36B6}" name="From" dataDxfId="21"/>
    <tableColumn id="2" xr3:uid="{D5C26497-4A5A-4362-99E9-529E48C40F3A}" name="To" dataDxfId="20"/>
    <tableColumn id="3" xr3:uid="{5D13D306-C05B-433E-B5B0-0302EF01C6EF}" name="Distance (KM)" dataDxfId="19"/>
    <tableColumn id="4" xr3:uid="{D91647F3-E3BA-4ED9-8182-0405BE9C0F41}" name="Edge Risk" dataDxfId="18"/>
    <tableColumn id="5" xr3:uid="{75A21690-4F9B-4666-9776-CD4B4ABC8A56}" name="Edge Humanitarian Aid" dataDxfId="17">
      <calculatedColumnFormula>AVERAGE(
   _xlfn.XLOOKUP(A3, $M$3:$M$42, $R$3:$R$42),
   _xlfn.XLOOKUP(B3, $M$3:$M$42, $R$3:$R$42)
)</calculatedColumnFormula>
    </tableColumn>
    <tableColumn id="6" xr3:uid="{96EE2195-033F-420E-94AC-E5347FDF32AB}" name="Distance Normalized" dataDxfId="16" dataCellStyle="Comma"/>
    <tableColumn id="7" xr3:uid="{5291C5FE-DD54-4629-A520-7CC37D38B6E4}" name="Edge Risk Normalized" dataDxfId="15" dataCellStyle="Comma"/>
    <tableColumn id="8" xr3:uid="{0CCD83F8-A247-4FFB-940D-39D28C6802F6}" name="Edge Weight Humanitarian Aid Normalized" dataDxfId="14"/>
    <tableColumn id="9" xr3:uid="{31E28EFD-5AEF-4334-B8D8-B7C3883F9285}" name="Humanitarian Scenario Weights" dataDxfId="0"/>
    <tableColumn id="10" xr3:uid="{47AFBD57-60E5-4981-BEFC-4399225B8B3A}" name="Distance Scenario Weights" dataDxfId="2"/>
    <tableColumn id="11" xr3:uid="{4FF75750-ED8B-4EE5-98FA-D2F534B70E7D}" name="Danger Scenario Weights" dataDxfId="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02CD08-068B-4DF1-B66B-B5E05294BE15}" name="Table4" displayName="Table4" ref="M2:R42" totalsRowShown="0" headerRowDxfId="13" dataDxfId="11" headerRowBorderDxfId="12" tableBorderDxfId="10" totalsRowBorderDxfId="9">
  <autoFilter ref="M2:R42" xr:uid="{7002CD08-068B-4DF1-B66B-B5E05294BE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ECDA50D-5229-46C2-A8AB-FA03C99193E9}" name="Name" dataDxfId="8"/>
    <tableColumn id="2" xr3:uid="{270155F5-77DE-45CB-8A59-449E0AB570BA}" name="Y" dataDxfId="7"/>
    <tableColumn id="3" xr3:uid="{F4FFED0A-4261-4D2E-8FAD-EDBBD03F01F5}" name="X" dataDxfId="6"/>
    <tableColumn id="4" xr3:uid="{21537135-76F8-44AD-9FE7-A5C259617189}" name="Type" dataDxfId="5"/>
    <tableColumn id="5" xr3:uid="{4A8BBCD9-F0B8-4199-8A63-D291F8A3C14E}" name="Risk" dataDxfId="4"/>
    <tableColumn id="6" xr3:uid="{786EC07E-9151-4416-A4BF-B15877803D22}" name="HumanitarianAid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9129-52C4-4092-AFCD-CB98687B2246}">
  <dimension ref="A1:W81"/>
  <sheetViews>
    <sheetView tabSelected="1" zoomScale="70" zoomScaleNormal="70" workbookViewId="0">
      <selection activeCell="S4" sqref="S4"/>
    </sheetView>
  </sheetViews>
  <sheetFormatPr defaultRowHeight="14.4" x14ac:dyDescent="0.3"/>
  <cols>
    <col min="1" max="1" width="23.88671875" style="21" customWidth="1"/>
    <col min="2" max="2" width="35.5546875" style="21" bestFit="1" customWidth="1"/>
    <col min="3" max="3" width="10" style="21" bestFit="1" customWidth="1"/>
    <col min="4" max="4" width="6.77734375" style="21" bestFit="1" customWidth="1"/>
    <col min="5" max="5" width="17.88671875" style="21" bestFit="1" customWidth="1"/>
    <col min="6" max="6" width="12" style="21" bestFit="1" customWidth="1"/>
    <col min="7" max="7" width="12.6640625" style="21" bestFit="1" customWidth="1"/>
    <col min="8" max="8" width="18.44140625" style="21" bestFit="1" customWidth="1"/>
    <col min="9" max="9" width="14.88671875" style="39" bestFit="1" customWidth="1"/>
    <col min="10" max="11" width="10.77734375" style="39" bestFit="1" customWidth="1"/>
    <col min="12" max="12" width="12" customWidth="1"/>
    <col min="13" max="13" width="35.5546875" style="21" bestFit="1" customWidth="1"/>
    <col min="14" max="15" width="13.33203125" style="21" bestFit="1" customWidth="1"/>
    <col min="16" max="16" width="11.21875" style="21" bestFit="1" customWidth="1"/>
    <col min="17" max="17" width="5.5546875" style="21" bestFit="1" customWidth="1"/>
    <col min="18" max="18" width="15.33203125" style="21" bestFit="1" customWidth="1"/>
    <col min="19" max="20" width="36.77734375" style="21" bestFit="1" customWidth="1"/>
    <col min="21" max="21" width="12.21875" style="21" bestFit="1" customWidth="1"/>
    <col min="22" max="23" width="8.33203125" style="21" bestFit="1" customWidth="1"/>
    <col min="24" max="24" width="8.88671875" style="21"/>
    <col min="25" max="25" width="18.33203125" style="21" bestFit="1" customWidth="1"/>
    <col min="26" max="26" width="13.109375" style="21" bestFit="1" customWidth="1"/>
    <col min="27" max="27" width="14.44140625" style="21" bestFit="1" customWidth="1"/>
    <col min="28" max="16384" width="8.88671875" style="21"/>
  </cols>
  <sheetData>
    <row r="1" spans="1:23" ht="29.4" thickBot="1" x14ac:dyDescent="0.35">
      <c r="A1" s="33" t="s">
        <v>55</v>
      </c>
      <c r="B1" s="34"/>
      <c r="C1" s="34"/>
      <c r="D1" s="34"/>
      <c r="E1" s="34"/>
      <c r="F1" s="34"/>
      <c r="G1" s="34"/>
      <c r="H1" s="34"/>
      <c r="I1" s="34"/>
      <c r="J1" s="34"/>
      <c r="K1" s="34"/>
      <c r="M1" s="35" t="s">
        <v>56</v>
      </c>
      <c r="N1" s="35"/>
      <c r="O1" s="35"/>
      <c r="P1" s="35"/>
      <c r="Q1" s="35"/>
      <c r="R1" s="36"/>
      <c r="W1"/>
    </row>
    <row r="2" spans="1:23" s="32" customFormat="1" ht="43.8" customHeight="1" thickBot="1" x14ac:dyDescent="0.35">
      <c r="A2" s="28" t="s">
        <v>0</v>
      </c>
      <c r="B2" s="29" t="s">
        <v>1</v>
      </c>
      <c r="C2" s="29" t="s">
        <v>68</v>
      </c>
      <c r="D2" s="29" t="s">
        <v>63</v>
      </c>
      <c r="E2" s="30" t="s">
        <v>67</v>
      </c>
      <c r="F2" s="31" t="s">
        <v>60</v>
      </c>
      <c r="G2" s="31" t="s">
        <v>62</v>
      </c>
      <c r="H2" s="31" t="s">
        <v>61</v>
      </c>
      <c r="I2" s="41" t="s">
        <v>64</v>
      </c>
      <c r="J2" s="41" t="s">
        <v>65</v>
      </c>
      <c r="K2" s="41" t="s">
        <v>66</v>
      </c>
      <c r="M2" s="16" t="s">
        <v>36</v>
      </c>
      <c r="N2" s="17" t="s">
        <v>37</v>
      </c>
      <c r="O2" s="17" t="s">
        <v>38</v>
      </c>
      <c r="P2" s="17" t="s">
        <v>39</v>
      </c>
      <c r="Q2" s="17" t="s">
        <v>40</v>
      </c>
      <c r="R2" s="18" t="s">
        <v>41</v>
      </c>
    </row>
    <row r="3" spans="1:23" ht="15" thickBot="1" x14ac:dyDescent="0.35">
      <c r="A3" s="7" t="s">
        <v>2</v>
      </c>
      <c r="B3" s="1" t="s">
        <v>47</v>
      </c>
      <c r="C3" s="1">
        <v>2.99674</v>
      </c>
      <c r="D3" s="2">
        <v>8.125</v>
      </c>
      <c r="E3" s="3">
        <f>AVERAGE(
   _xlfn.XLOOKUP(A3, $M$3:$M$42, $R$3:$R$42),
   _xlfn.XLOOKUP(B3, $M$3:$M$42, $R$3:$R$42)
)</f>
        <v>0.5</v>
      </c>
      <c r="F3" s="24">
        <v>0.25029786703838403</v>
      </c>
      <c r="G3" s="24">
        <v>0.71153846153846156</v>
      </c>
      <c r="H3" s="26">
        <v>0.125</v>
      </c>
      <c r="I3" s="42">
        <v>5.6775449286526838</v>
      </c>
      <c r="J3" s="42">
        <v>26.748641253072268</v>
      </c>
      <c r="K3" s="40">
        <v>45.198265033075366</v>
      </c>
      <c r="L3" s="21"/>
      <c r="M3" s="13" t="s">
        <v>2</v>
      </c>
      <c r="N3" s="5">
        <v>31.538482999999999</v>
      </c>
      <c r="O3" s="5">
        <v>34.536769999999997</v>
      </c>
      <c r="P3" s="5" t="s">
        <v>42</v>
      </c>
      <c r="Q3" s="5">
        <v>8.5</v>
      </c>
      <c r="R3" s="14">
        <v>1</v>
      </c>
    </row>
    <row r="4" spans="1:23" ht="15" thickBot="1" x14ac:dyDescent="0.35">
      <c r="A4" s="7" t="s">
        <v>3</v>
      </c>
      <c r="B4" s="1" t="s">
        <v>47</v>
      </c>
      <c r="C4" s="1">
        <v>0.42542000000000002</v>
      </c>
      <c r="D4" s="2">
        <v>8.125</v>
      </c>
      <c r="E4" s="3">
        <f>AVERAGE(
   _xlfn.XLOOKUP(A4, $M$3:$M$42, $R$3:$R$42),
   _xlfn.XLOOKUP(B4, $M$3:$M$42, $R$3:$R$42)
)</f>
        <v>0.5</v>
      </c>
      <c r="F4" s="4">
        <v>0</v>
      </c>
      <c r="G4" s="4">
        <v>0.71153846153846156</v>
      </c>
      <c r="H4" s="22">
        <v>0.125</v>
      </c>
      <c r="I4" s="42">
        <v>1.9230769230769231</v>
      </c>
      <c r="J4" s="42">
        <v>11.730769230769234</v>
      </c>
      <c r="K4" s="40">
        <v>40.192307692307686</v>
      </c>
      <c r="L4" s="21"/>
      <c r="M4" s="13" t="s">
        <v>3</v>
      </c>
      <c r="N4" s="5">
        <v>31.551289000000001</v>
      </c>
      <c r="O4" s="5">
        <v>34.509222000000001</v>
      </c>
      <c r="P4" s="5" t="s">
        <v>42</v>
      </c>
      <c r="Q4" s="5">
        <v>8.5</v>
      </c>
      <c r="R4" s="14">
        <v>1</v>
      </c>
    </row>
    <row r="5" spans="1:23" ht="15" thickBot="1" x14ac:dyDescent="0.35">
      <c r="A5" s="7" t="s">
        <v>4</v>
      </c>
      <c r="B5" s="1" t="s">
        <v>50</v>
      </c>
      <c r="C5" s="1">
        <v>1.7845599999999999</v>
      </c>
      <c r="D5" s="2">
        <v>9.25</v>
      </c>
      <c r="E5" s="3">
        <f>AVERAGE(
   _xlfn.XLOOKUP(A5, $M$3:$M$42, $R$3:$R$42),
   _xlfn.XLOOKUP(B5, $M$3:$M$42, $R$3:$R$42)
)</f>
        <v>0.5</v>
      </c>
      <c r="F5" s="4">
        <v>0.1323016361271834</v>
      </c>
      <c r="G5" s="4">
        <v>0.88461538461538458</v>
      </c>
      <c r="H5" s="22">
        <v>0.125</v>
      </c>
      <c r="I5" s="42">
        <v>6.5037553111385202</v>
      </c>
      <c r="J5" s="42">
        <v>23.130405859938698</v>
      </c>
      <c r="K5" s="40">
        <v>53.222955799466746</v>
      </c>
      <c r="L5" s="21"/>
      <c r="M5" s="13" t="s">
        <v>4</v>
      </c>
      <c r="N5" s="5">
        <v>31.529395999999998</v>
      </c>
      <c r="O5" s="5">
        <v>34.479740999999997</v>
      </c>
      <c r="P5" s="5" t="s">
        <v>42</v>
      </c>
      <c r="Q5" s="5">
        <v>8.5</v>
      </c>
      <c r="R5" s="14">
        <v>1</v>
      </c>
    </row>
    <row r="6" spans="1:23" ht="15" thickBot="1" x14ac:dyDescent="0.35">
      <c r="A6" s="7" t="s">
        <v>5</v>
      </c>
      <c r="B6" s="1" t="s">
        <v>47</v>
      </c>
      <c r="C6" s="1">
        <v>2.2776999999999998</v>
      </c>
      <c r="D6" s="2">
        <v>8.375</v>
      </c>
      <c r="E6" s="3">
        <f>AVERAGE(
   _xlfn.XLOOKUP(A6, $M$3:$M$42, $R$3:$R$42),
   _xlfn.XLOOKUP(B6, $M$3:$M$42, $R$3:$R$42)
)</f>
        <v>0.5</v>
      </c>
      <c r="F6" s="4">
        <v>0.18030495354831677</v>
      </c>
      <c r="G6" s="4">
        <v>0.75</v>
      </c>
      <c r="H6" s="22">
        <v>0.125</v>
      </c>
      <c r="I6" s="42">
        <v>5.2045743032247511</v>
      </c>
      <c r="J6" s="42">
        <v>23.318297212899012</v>
      </c>
      <c r="K6" s="40">
        <v>46.10609907096633</v>
      </c>
      <c r="L6" s="21"/>
      <c r="M6" s="13" t="s">
        <v>5</v>
      </c>
      <c r="N6" s="5">
        <v>31.5596</v>
      </c>
      <c r="O6" s="5">
        <v>34.487409999999997</v>
      </c>
      <c r="P6" s="5" t="s">
        <v>42</v>
      </c>
      <c r="Q6" s="5">
        <v>9</v>
      </c>
      <c r="R6" s="14">
        <v>1</v>
      </c>
      <c r="T6" s="37" t="s">
        <v>69</v>
      </c>
      <c r="U6" s="43" t="s">
        <v>54</v>
      </c>
      <c r="V6" s="43"/>
      <c r="W6" s="43"/>
    </row>
    <row r="7" spans="1:23" ht="15" thickBot="1" x14ac:dyDescent="0.35">
      <c r="A7" s="7" t="s">
        <v>6</v>
      </c>
      <c r="B7" s="1" t="s">
        <v>50</v>
      </c>
      <c r="C7" s="1">
        <v>1.9773399999999999</v>
      </c>
      <c r="D7" s="2">
        <v>9.25</v>
      </c>
      <c r="E7" s="3">
        <f>AVERAGE(
   _xlfn.XLOOKUP(A7, $M$3:$M$42, $R$3:$R$42),
   _xlfn.XLOOKUP(B7, $M$3:$M$42, $R$3:$R$42)
)</f>
        <v>0.5</v>
      </c>
      <c r="F7" s="4">
        <v>0.15106725954537314</v>
      </c>
      <c r="G7" s="4">
        <v>0.88461538461538458</v>
      </c>
      <c r="H7" s="22">
        <v>0.125</v>
      </c>
      <c r="I7" s="42">
        <v>6.7852396624113656</v>
      </c>
      <c r="J7" s="42">
        <v>24.256343265030083</v>
      </c>
      <c r="K7" s="40">
        <v>53.598268267830541</v>
      </c>
      <c r="L7" s="21"/>
      <c r="M7" s="13" t="s">
        <v>6</v>
      </c>
      <c r="N7" s="5">
        <v>31.537392000000001</v>
      </c>
      <c r="O7" s="5">
        <v>34.453668999999998</v>
      </c>
      <c r="P7" s="5" t="s">
        <v>42</v>
      </c>
      <c r="Q7" s="5">
        <v>8.5</v>
      </c>
      <c r="R7" s="14">
        <v>1</v>
      </c>
      <c r="T7" s="38"/>
      <c r="U7" s="23" t="s">
        <v>53</v>
      </c>
      <c r="V7" s="23" t="s">
        <v>51</v>
      </c>
      <c r="W7" s="23" t="s">
        <v>52</v>
      </c>
    </row>
    <row r="8" spans="1:23" ht="15" thickBot="1" x14ac:dyDescent="0.35">
      <c r="A8" s="7" t="s">
        <v>7</v>
      </c>
      <c r="B8" s="1" t="s">
        <v>50</v>
      </c>
      <c r="C8" s="1">
        <v>1.2425899999999999</v>
      </c>
      <c r="D8" s="2">
        <v>10</v>
      </c>
      <c r="E8" s="3">
        <f>AVERAGE(
   _xlfn.XLOOKUP(A8, $M$3:$M$42, $R$3:$R$42),
   _xlfn.XLOOKUP(B8, $M$3:$M$42, $R$3:$R$42)
)</f>
        <v>0.5</v>
      </c>
      <c r="F8" s="4">
        <v>7.9545100573929425E-2</v>
      </c>
      <c r="G8" s="4">
        <v>1</v>
      </c>
      <c r="H8" s="22">
        <v>0.125</v>
      </c>
      <c r="I8" s="42">
        <v>7.4431765086089428</v>
      </c>
      <c r="J8" s="42">
        <v>22.272706034435767</v>
      </c>
      <c r="K8" s="40">
        <v>59.090902011478583</v>
      </c>
      <c r="L8" s="21"/>
      <c r="M8" s="13" t="s">
        <v>7</v>
      </c>
      <c r="N8" s="5">
        <v>31.530712000000001</v>
      </c>
      <c r="O8" s="5">
        <v>34.455675999999997</v>
      </c>
      <c r="P8" s="5" t="s">
        <v>42</v>
      </c>
      <c r="Q8" s="5">
        <v>10</v>
      </c>
      <c r="R8" s="14">
        <v>1</v>
      </c>
      <c r="T8" s="23" t="s">
        <v>57</v>
      </c>
      <c r="U8" s="1">
        <v>0.15</v>
      </c>
      <c r="V8" s="1">
        <v>0.6</v>
      </c>
      <c r="W8" s="1">
        <v>0.2</v>
      </c>
    </row>
    <row r="9" spans="1:23" ht="15" thickBot="1" x14ac:dyDescent="0.35">
      <c r="A9" s="7" t="s">
        <v>8</v>
      </c>
      <c r="B9" s="1" t="s">
        <v>50</v>
      </c>
      <c r="C9" s="1">
        <v>1.58141</v>
      </c>
      <c r="D9" s="2">
        <v>9</v>
      </c>
      <c r="E9" s="3">
        <f>AVERAGE(
   _xlfn.XLOOKUP(A9, $M$3:$M$42, $R$3:$R$42),
   _xlfn.XLOOKUP(B9, $M$3:$M$42, $R$3:$R$42)
)</f>
        <v>0.5</v>
      </c>
      <c r="F9" s="4">
        <v>0.112526574412248</v>
      </c>
      <c r="G9" s="4">
        <v>0.84615384615384615</v>
      </c>
      <c r="H9" s="22">
        <v>0.125</v>
      </c>
      <c r="I9" s="42">
        <v>5.6302063084914113</v>
      </c>
      <c r="J9" s="42">
        <v>21.174671387811802</v>
      </c>
      <c r="K9" s="40">
        <v>50.519762257475719</v>
      </c>
      <c r="L9" s="21"/>
      <c r="M9" s="13" t="s">
        <v>8</v>
      </c>
      <c r="N9" s="5">
        <v>31.5124502</v>
      </c>
      <c r="O9" s="5">
        <v>34.476042499999998</v>
      </c>
      <c r="P9" s="5" t="s">
        <v>42</v>
      </c>
      <c r="Q9" s="5">
        <v>8</v>
      </c>
      <c r="R9" s="14">
        <v>1</v>
      </c>
      <c r="T9" s="23" t="s">
        <v>58</v>
      </c>
      <c r="U9" s="1">
        <v>0.15</v>
      </c>
      <c r="V9" s="1">
        <v>0.2</v>
      </c>
      <c r="W9" s="1">
        <v>0.6</v>
      </c>
    </row>
    <row r="10" spans="1:23" ht="15" thickBot="1" x14ac:dyDescent="0.35">
      <c r="A10" s="7" t="s">
        <v>9</v>
      </c>
      <c r="B10" s="1" t="s">
        <v>50</v>
      </c>
      <c r="C10" s="1">
        <v>2.40218</v>
      </c>
      <c r="D10" s="2">
        <v>9.5</v>
      </c>
      <c r="E10" s="3">
        <f>AVERAGE(
   _xlfn.XLOOKUP(A10, $M$3:$M$42, $R$3:$R$42),
   _xlfn.XLOOKUP(B10, $M$3:$M$42, $R$3:$R$42)
)</f>
        <v>0</v>
      </c>
      <c r="F10" s="4">
        <v>0.19242210679604094</v>
      </c>
      <c r="G10" s="4">
        <v>0.92307692307692313</v>
      </c>
      <c r="H10" s="22">
        <v>0</v>
      </c>
      <c r="I10" s="42">
        <v>16.732485448094462</v>
      </c>
      <c r="J10" s="42">
        <v>30.006864869300919</v>
      </c>
      <c r="K10" s="40">
        <v>59.233057520536207</v>
      </c>
      <c r="L10" s="21"/>
      <c r="M10" s="13" t="s">
        <v>9</v>
      </c>
      <c r="N10" s="5">
        <v>31.500902199999999</v>
      </c>
      <c r="O10" s="5">
        <v>34.470506499999999</v>
      </c>
      <c r="P10" s="5" t="s">
        <v>42</v>
      </c>
      <c r="Q10" s="5">
        <v>9</v>
      </c>
      <c r="R10" s="14">
        <v>0</v>
      </c>
      <c r="T10" s="23" t="s">
        <v>59</v>
      </c>
      <c r="U10" s="1">
        <v>0.7</v>
      </c>
      <c r="V10" s="1">
        <v>0.2</v>
      </c>
      <c r="W10" s="1">
        <v>0.2</v>
      </c>
    </row>
    <row r="11" spans="1:23" ht="15" thickBot="1" x14ac:dyDescent="0.35">
      <c r="A11" s="7" t="s">
        <v>10</v>
      </c>
      <c r="B11" s="1" t="s">
        <v>50</v>
      </c>
      <c r="C11" s="1">
        <v>1.37575</v>
      </c>
      <c r="D11" s="2">
        <v>9</v>
      </c>
      <c r="E11" s="3">
        <f>AVERAGE(
   _xlfn.XLOOKUP(A11, $M$3:$M$42, $R$3:$R$42),
   _xlfn.XLOOKUP(B11, $M$3:$M$42, $R$3:$R$42)
)</f>
        <v>0.5</v>
      </c>
      <c r="F11" s="4">
        <v>9.2507183852102215E-2</v>
      </c>
      <c r="G11" s="4">
        <v>0.84615384615384615</v>
      </c>
      <c r="H11" s="22">
        <v>0.125</v>
      </c>
      <c r="I11" s="42">
        <v>5.3299154500892261</v>
      </c>
      <c r="J11" s="42">
        <v>19.973507954203058</v>
      </c>
      <c r="K11" s="40">
        <v>50.119374446272815</v>
      </c>
      <c r="L11" s="21"/>
      <c r="M11" s="13" t="s">
        <v>10</v>
      </c>
      <c r="N11" s="5">
        <v>31.517428299999999</v>
      </c>
      <c r="O11" s="5">
        <v>34.449618200000003</v>
      </c>
      <c r="P11" s="5" t="s">
        <v>42</v>
      </c>
      <c r="Q11" s="5">
        <v>8</v>
      </c>
      <c r="R11" s="14">
        <v>1</v>
      </c>
    </row>
    <row r="12" spans="1:23" ht="15" thickBot="1" x14ac:dyDescent="0.35">
      <c r="A12" s="7" t="s">
        <v>43</v>
      </c>
      <c r="B12" s="1" t="s">
        <v>50</v>
      </c>
      <c r="C12" s="1">
        <v>1.6258599999999999</v>
      </c>
      <c r="D12" s="2">
        <v>9.5</v>
      </c>
      <c r="E12" s="3">
        <f>AVERAGE(
   _xlfn.XLOOKUP(A12, $M$3:$M$42, $R$3:$R$42),
   _xlfn.XLOOKUP(B12, $M$3:$M$42, $R$3:$R$42)
)</f>
        <v>0.5</v>
      </c>
      <c r="F12" s="4">
        <v>0.116853433842368</v>
      </c>
      <c r="G12" s="4">
        <v>0.92307692307692313</v>
      </c>
      <c r="H12" s="22">
        <v>0.125</v>
      </c>
      <c r="I12" s="42">
        <v>6.8489553537893686</v>
      </c>
      <c r="J12" s="42">
        <v>22.972744492080547</v>
      </c>
      <c r="K12" s="40">
        <v>55.221684061462753</v>
      </c>
      <c r="L12" s="21"/>
      <c r="M12" s="13" t="s">
        <v>43</v>
      </c>
      <c r="N12" s="5">
        <v>31.508562000000001</v>
      </c>
      <c r="O12" s="5">
        <v>34.455533600000003</v>
      </c>
      <c r="P12" s="5" t="s">
        <v>42</v>
      </c>
      <c r="Q12" s="5">
        <v>9</v>
      </c>
      <c r="R12" s="14">
        <v>1</v>
      </c>
    </row>
    <row r="13" spans="1:23" ht="15" thickBot="1" x14ac:dyDescent="0.35">
      <c r="A13" s="7" t="s">
        <v>11</v>
      </c>
      <c r="B13" s="1" t="s">
        <v>50</v>
      </c>
      <c r="C13" s="1">
        <v>1.61582</v>
      </c>
      <c r="D13" s="2">
        <v>9.25</v>
      </c>
      <c r="E13" s="3">
        <f>AVERAGE(
   _xlfn.XLOOKUP(A13, $M$3:$M$42, $R$3:$R$42),
   _xlfn.XLOOKUP(B13, $M$3:$M$42, $R$3:$R$42)
)</f>
        <v>0.5</v>
      </c>
      <c r="F13" s="4">
        <v>0.1158761184615265</v>
      </c>
      <c r="G13" s="4">
        <v>0.88461538461538458</v>
      </c>
      <c r="H13" s="22">
        <v>0.125</v>
      </c>
      <c r="I13" s="42">
        <v>6.2573725461536664</v>
      </c>
      <c r="J13" s="42">
        <v>22.144874799999283</v>
      </c>
      <c r="K13" s="40">
        <v>52.894445446153604</v>
      </c>
      <c r="L13" s="21"/>
      <c r="M13" s="13" t="s">
        <v>11</v>
      </c>
      <c r="N13" s="5">
        <v>31.536021999999999</v>
      </c>
      <c r="O13" s="5">
        <v>34.465442000000003</v>
      </c>
      <c r="P13" s="5" t="s">
        <v>42</v>
      </c>
      <c r="Q13" s="5">
        <v>8.5</v>
      </c>
      <c r="R13" s="14">
        <v>1</v>
      </c>
    </row>
    <row r="14" spans="1:23" ht="15" thickBot="1" x14ac:dyDescent="0.35">
      <c r="A14" s="7" t="s">
        <v>12</v>
      </c>
      <c r="B14" s="1" t="s">
        <v>45</v>
      </c>
      <c r="C14" s="1">
        <v>2.6607399999999997</v>
      </c>
      <c r="D14" s="2">
        <v>6</v>
      </c>
      <c r="E14" s="3">
        <f>AVERAGE(
   _xlfn.XLOOKUP(A14, $M$3:$M$42, $R$3:$R$42),
   _xlfn.XLOOKUP(B14, $M$3:$M$42, $R$3:$R$42)
)</f>
        <v>2</v>
      </c>
      <c r="F14" s="4">
        <v>0.21759089811779184</v>
      </c>
      <c r="G14" s="4">
        <v>0.38461538461538464</v>
      </c>
      <c r="H14" s="22">
        <v>0.5</v>
      </c>
      <c r="I14" s="42">
        <v>-25.966905759002351</v>
      </c>
      <c r="J14" s="42">
        <v>10.747761579375201</v>
      </c>
      <c r="K14" s="40">
        <v>17.428741039278915</v>
      </c>
      <c r="L14" s="21"/>
      <c r="M14" s="13" t="s">
        <v>12</v>
      </c>
      <c r="N14" s="5">
        <v>31.449967000000001</v>
      </c>
      <c r="O14" s="5">
        <v>34.392909000000003</v>
      </c>
      <c r="P14" s="5" t="s">
        <v>42</v>
      </c>
      <c r="Q14" s="5">
        <v>6.5</v>
      </c>
      <c r="R14" s="14">
        <v>4</v>
      </c>
    </row>
    <row r="15" spans="1:23" ht="15" thickBot="1" x14ac:dyDescent="0.35">
      <c r="A15" s="7" t="s">
        <v>13</v>
      </c>
      <c r="B15" s="1" t="s">
        <v>45</v>
      </c>
      <c r="C15" s="1">
        <v>2.4244699999999999</v>
      </c>
      <c r="D15" s="2">
        <v>5.75</v>
      </c>
      <c r="E15" s="3">
        <f>AVERAGE(
   _xlfn.XLOOKUP(A15, $M$3:$M$42, $R$3:$R$42),
   _xlfn.XLOOKUP(B15, $M$3:$M$42, $R$3:$R$42)
)</f>
        <v>2</v>
      </c>
      <c r="F15" s="4">
        <v>0.19459186375211235</v>
      </c>
      <c r="G15" s="4">
        <v>0.34615384615384615</v>
      </c>
      <c r="H15" s="22">
        <v>0.5</v>
      </c>
      <c r="I15" s="42">
        <v>-26.888814351410623</v>
      </c>
      <c r="J15" s="42">
        <v>8.5985887482036638</v>
      </c>
      <c r="K15" s="40">
        <v>14.661068044273016</v>
      </c>
      <c r="L15" s="21"/>
      <c r="M15" s="13" t="s">
        <v>13</v>
      </c>
      <c r="N15" s="5">
        <v>31.438786</v>
      </c>
      <c r="O15" s="5">
        <v>34.402389999999997</v>
      </c>
      <c r="P15" s="5" t="s">
        <v>42</v>
      </c>
      <c r="Q15" s="5">
        <v>6</v>
      </c>
      <c r="R15" s="14">
        <v>4</v>
      </c>
    </row>
    <row r="16" spans="1:23" ht="15" thickBot="1" x14ac:dyDescent="0.35">
      <c r="A16" s="7" t="s">
        <v>14</v>
      </c>
      <c r="B16" s="1" t="s">
        <v>45</v>
      </c>
      <c r="C16" s="1">
        <v>0.96150999999999998</v>
      </c>
      <c r="D16" s="2">
        <v>5.25</v>
      </c>
      <c r="E16" s="3">
        <f>AVERAGE(
   _xlfn.XLOOKUP(A16, $M$3:$M$42, $R$3:$R$42),
   _xlfn.XLOOKUP(B16, $M$3:$M$42, $R$3:$R$42)
)</f>
        <v>2</v>
      </c>
      <c r="F16" s="4">
        <v>5.2184163597143597E-2</v>
      </c>
      <c r="G16" s="4">
        <v>0.26923076923076922</v>
      </c>
      <c r="H16" s="22">
        <v>0.5</v>
      </c>
      <c r="I16" s="42">
        <v>-30.178776007581305</v>
      </c>
      <c r="J16" s="42">
        <v>-1.4843347995560001</v>
      </c>
      <c r="K16" s="40">
        <v>7.197529425789023</v>
      </c>
      <c r="L16" s="21"/>
      <c r="M16" s="13" t="s">
        <v>14</v>
      </c>
      <c r="N16" s="5">
        <v>31.421807000000001</v>
      </c>
      <c r="O16" s="5">
        <v>34.385415999999999</v>
      </c>
      <c r="P16" s="5" t="s">
        <v>42</v>
      </c>
      <c r="Q16" s="5">
        <v>5</v>
      </c>
      <c r="R16" s="14">
        <v>4</v>
      </c>
    </row>
    <row r="17" spans="1:18" ht="15" thickBot="1" x14ac:dyDescent="0.35">
      <c r="A17" s="7" t="s">
        <v>15</v>
      </c>
      <c r="B17" s="1" t="s">
        <v>45</v>
      </c>
      <c r="C17" s="1">
        <v>0.84739999999999993</v>
      </c>
      <c r="D17" s="2">
        <v>5.5</v>
      </c>
      <c r="E17" s="3">
        <f>AVERAGE(
   _xlfn.XLOOKUP(A17, $M$3:$M$42, $R$3:$R$42),
   _xlfn.XLOOKUP(B17, $M$3:$M$42, $R$3:$R$42)
)</f>
        <v>2</v>
      </c>
      <c r="F17" s="4">
        <v>4.1076448646165109E-2</v>
      </c>
      <c r="G17" s="4">
        <v>0.30769230769230771</v>
      </c>
      <c r="H17" s="22">
        <v>0.5</v>
      </c>
      <c r="I17" s="42">
        <v>-29.768468654922909</v>
      </c>
      <c r="J17" s="42">
        <v>-1.3815669273839397</v>
      </c>
      <c r="K17" s="40">
        <v>9.2830674344617634</v>
      </c>
      <c r="L17" s="21"/>
      <c r="M17" s="13" t="s">
        <v>15</v>
      </c>
      <c r="N17" s="5">
        <v>31.429763000000001</v>
      </c>
      <c r="O17" s="5">
        <v>34.370742</v>
      </c>
      <c r="P17" s="5" t="s">
        <v>42</v>
      </c>
      <c r="Q17" s="5">
        <v>5.5</v>
      </c>
      <c r="R17" s="14">
        <v>4</v>
      </c>
    </row>
    <row r="18" spans="1:18" ht="15" thickBot="1" x14ac:dyDescent="0.35">
      <c r="A18" s="7" t="s">
        <v>16</v>
      </c>
      <c r="B18" s="1" t="s">
        <v>45</v>
      </c>
      <c r="C18" s="1">
        <v>3.01952</v>
      </c>
      <c r="D18" s="2">
        <v>5.75</v>
      </c>
      <c r="E18" s="3">
        <f>AVERAGE(
   _xlfn.XLOOKUP(A18, $M$3:$M$42, $R$3:$R$42),
   _xlfn.XLOOKUP(B18, $M$3:$M$42, $R$3:$R$42)
)</f>
        <v>2</v>
      </c>
      <c r="F18" s="4">
        <v>0.25251532165746465</v>
      </c>
      <c r="G18" s="4">
        <v>0.34615384615384615</v>
      </c>
      <c r="H18" s="22">
        <v>0.5</v>
      </c>
      <c r="I18" s="42">
        <v>-26.019962482830337</v>
      </c>
      <c r="J18" s="42">
        <v>12.073996222524801</v>
      </c>
      <c r="K18" s="40">
        <v>15.81953720238006</v>
      </c>
      <c r="L18" s="21"/>
      <c r="M18" s="13" t="s">
        <v>16</v>
      </c>
      <c r="N18" s="5">
        <v>31.417138999999999</v>
      </c>
      <c r="O18" s="5">
        <v>34.350931000000003</v>
      </c>
      <c r="P18" s="5" t="s">
        <v>42</v>
      </c>
      <c r="Q18" s="6">
        <v>6</v>
      </c>
      <c r="R18" s="14">
        <v>4</v>
      </c>
    </row>
    <row r="19" spans="1:18" ht="15" thickBot="1" x14ac:dyDescent="0.35">
      <c r="A19" s="7" t="s">
        <v>17</v>
      </c>
      <c r="B19" s="1" t="s">
        <v>45</v>
      </c>
      <c r="C19" s="1">
        <v>1.49976</v>
      </c>
      <c r="D19" s="2">
        <v>5.5</v>
      </c>
      <c r="E19" s="3">
        <f>AVERAGE(
   _xlfn.XLOOKUP(A19, $M$3:$M$42, $R$3:$R$42),
   _xlfn.XLOOKUP(B19, $M$3:$M$42, $R$3:$R$42)
)</f>
        <v>2</v>
      </c>
      <c r="F19" s="4">
        <v>0.10457858628020528</v>
      </c>
      <c r="G19" s="4">
        <v>0.30769230769230771</v>
      </c>
      <c r="H19" s="22">
        <v>0.5</v>
      </c>
      <c r="I19" s="42">
        <v>-28.815936590412306</v>
      </c>
      <c r="J19" s="42">
        <v>2.4285613306584701</v>
      </c>
      <c r="K19" s="40">
        <v>10.553110187142567</v>
      </c>
      <c r="L19" s="21"/>
      <c r="M19" s="13" t="s">
        <v>17</v>
      </c>
      <c r="N19" s="5">
        <v>31.415921000000001</v>
      </c>
      <c r="O19" s="5">
        <v>34.375304</v>
      </c>
      <c r="P19" s="5" t="s">
        <v>42</v>
      </c>
      <c r="Q19" s="5">
        <v>5.5</v>
      </c>
      <c r="R19" s="14">
        <v>4</v>
      </c>
    </row>
    <row r="20" spans="1:18" ht="15" thickBot="1" x14ac:dyDescent="0.35">
      <c r="A20" s="7" t="s">
        <v>18</v>
      </c>
      <c r="B20" s="1" t="s">
        <v>48</v>
      </c>
      <c r="C20" s="1">
        <v>0.80035999999999996</v>
      </c>
      <c r="D20" s="2">
        <v>7.5</v>
      </c>
      <c r="E20" s="3">
        <f>AVERAGE(
   _xlfn.XLOOKUP(A20, $M$3:$M$42, $R$3:$R$42),
   _xlfn.XLOOKUP(B20, $M$3:$M$42, $R$3:$R$42)
)</f>
        <v>1.5</v>
      </c>
      <c r="F20" s="4">
        <v>3.6497472997282204E-2</v>
      </c>
      <c r="G20" s="4">
        <v>0.61538461538461542</v>
      </c>
      <c r="H20" s="22">
        <v>0.375</v>
      </c>
      <c r="I20" s="42">
        <v>-16.47176867427153</v>
      </c>
      <c r="J20" s="42">
        <v>6.9975406875292387</v>
      </c>
      <c r="K20" s="40">
        <v>30.153026383022567</v>
      </c>
      <c r="L20" s="21"/>
      <c r="M20" s="13" t="s">
        <v>18</v>
      </c>
      <c r="N20" s="5">
        <v>31.323125999999998</v>
      </c>
      <c r="O20" s="5">
        <v>34.344025000000002</v>
      </c>
      <c r="P20" s="5" t="s">
        <v>42</v>
      </c>
      <c r="Q20" s="5">
        <v>8</v>
      </c>
      <c r="R20" s="14">
        <v>3</v>
      </c>
    </row>
    <row r="21" spans="1:18" ht="15" thickBot="1" x14ac:dyDescent="0.35">
      <c r="A21" s="7" t="s">
        <v>19</v>
      </c>
      <c r="B21" s="1" t="s">
        <v>48</v>
      </c>
      <c r="C21" s="1">
        <v>1.2412699999999999</v>
      </c>
      <c r="D21" s="2">
        <v>8</v>
      </c>
      <c r="E21" s="3">
        <f>AVERAGE(
   _xlfn.XLOOKUP(A21, $M$3:$M$42, $R$3:$R$42),
   _xlfn.XLOOKUP(B21, $M$3:$M$42, $R$3:$R$42)
)</f>
        <v>1.5</v>
      </c>
      <c r="F21" s="4">
        <v>7.9416608910312825E-2</v>
      </c>
      <c r="G21" s="4">
        <v>0.69230769230769229</v>
      </c>
      <c r="H21" s="22">
        <v>0.375</v>
      </c>
      <c r="I21" s="42">
        <v>-14.67413548172992</v>
      </c>
      <c r="J21" s="42">
        <v>11.111150380772617</v>
      </c>
      <c r="K21" s="40">
        <v>35.626793716667791</v>
      </c>
      <c r="L21" s="21"/>
      <c r="M21" s="13" t="s">
        <v>19</v>
      </c>
      <c r="N21" s="5">
        <v>31.339708999999999</v>
      </c>
      <c r="O21" s="5">
        <v>34.346632999999997</v>
      </c>
      <c r="P21" s="5" t="s">
        <v>42</v>
      </c>
      <c r="Q21" s="5">
        <v>9</v>
      </c>
      <c r="R21" s="14">
        <v>3</v>
      </c>
    </row>
    <row r="22" spans="1:18" ht="15" thickBot="1" x14ac:dyDescent="0.35">
      <c r="A22" s="7" t="s">
        <v>20</v>
      </c>
      <c r="B22" s="1" t="s">
        <v>48</v>
      </c>
      <c r="C22" s="1">
        <v>2.01172</v>
      </c>
      <c r="D22" s="2">
        <v>8</v>
      </c>
      <c r="E22" s="3">
        <f>AVERAGE(
   _xlfn.XLOOKUP(A22, $M$3:$M$42, $R$3:$R$42),
   _xlfn.XLOOKUP(B22, $M$3:$M$42, $R$3:$R$42)
)</f>
        <v>1.5</v>
      </c>
      <c r="F22" s="4">
        <v>0.15441388332956946</v>
      </c>
      <c r="G22" s="4">
        <v>0.69230769230769229</v>
      </c>
      <c r="H22" s="22">
        <v>0.375</v>
      </c>
      <c r="I22" s="42">
        <v>-13.54917636544107</v>
      </c>
      <c r="J22" s="42">
        <v>15.610986845928013</v>
      </c>
      <c r="K22" s="40">
        <v>37.126739205052921</v>
      </c>
      <c r="L22" s="21"/>
      <c r="M22" s="13" t="s">
        <v>20</v>
      </c>
      <c r="N22" s="5">
        <v>31.342103999999999</v>
      </c>
      <c r="O22" s="5">
        <v>34.325254000000001</v>
      </c>
      <c r="P22" s="5" t="s">
        <v>42</v>
      </c>
      <c r="Q22" s="5">
        <v>9</v>
      </c>
      <c r="R22" s="14">
        <v>3</v>
      </c>
    </row>
    <row r="23" spans="1:18" ht="15" thickBot="1" x14ac:dyDescent="0.35">
      <c r="A23" s="7" t="s">
        <v>21</v>
      </c>
      <c r="B23" s="1" t="s">
        <v>48</v>
      </c>
      <c r="C23" s="1">
        <v>3.1232500000000001</v>
      </c>
      <c r="D23" s="2">
        <v>8.5</v>
      </c>
      <c r="E23" s="3">
        <f>AVERAGE(
   _xlfn.XLOOKUP(A23, $M$3:$M$42, $R$3:$R$42),
   _xlfn.XLOOKUP(B23, $M$3:$M$42, $R$3:$R$42)
)</f>
        <v>2.5</v>
      </c>
      <c r="F23" s="4">
        <v>0.26261262489000342</v>
      </c>
      <c r="G23" s="4">
        <v>0.76923076923076927</v>
      </c>
      <c r="H23" s="22">
        <v>0.625</v>
      </c>
      <c r="I23" s="42">
        <v>-28.27234908818841</v>
      </c>
      <c r="J23" s="42">
        <v>18.641372878015595</v>
      </c>
      <c r="K23" s="40">
        <v>38.906098651646225</v>
      </c>
      <c r="L23" s="21"/>
      <c r="M23" s="13" t="s">
        <v>21</v>
      </c>
      <c r="N23" s="5">
        <v>31.307022</v>
      </c>
      <c r="O23" s="5">
        <v>34.360047000000002</v>
      </c>
      <c r="P23" s="5" t="s">
        <v>42</v>
      </c>
      <c r="Q23" s="5">
        <v>10</v>
      </c>
      <c r="R23" s="14">
        <v>5</v>
      </c>
    </row>
    <row r="24" spans="1:18" ht="15" thickBot="1" x14ac:dyDescent="0.35">
      <c r="A24" s="7" t="s">
        <v>22</v>
      </c>
      <c r="B24" s="1" t="s">
        <v>48</v>
      </c>
      <c r="C24" s="1">
        <v>4.65055</v>
      </c>
      <c r="D24" s="2">
        <v>7.75</v>
      </c>
      <c r="E24" s="3">
        <f>AVERAGE(
   _xlfn.XLOOKUP(A24, $M$3:$M$42, $R$3:$R$42),
   _xlfn.XLOOKUP(B24, $M$3:$M$42, $R$3:$R$42)
)</f>
        <v>1.5</v>
      </c>
      <c r="F24" s="4">
        <v>0.41128332022458791</v>
      </c>
      <c r="G24" s="4">
        <v>0.65384615384615385</v>
      </c>
      <c r="H24" s="22">
        <v>0.375</v>
      </c>
      <c r="I24" s="42">
        <v>-10.273057888938869</v>
      </c>
      <c r="J24" s="42">
        <v>30.25392229039835</v>
      </c>
      <c r="K24" s="40">
        <v>39.956435635260988</v>
      </c>
      <c r="L24" s="21"/>
      <c r="M24" s="13" t="s">
        <v>22</v>
      </c>
      <c r="N24" s="5">
        <v>31.371312</v>
      </c>
      <c r="O24" s="5">
        <v>34.335259999999998</v>
      </c>
      <c r="P24" s="5" t="s">
        <v>42</v>
      </c>
      <c r="Q24" s="5">
        <v>8.5</v>
      </c>
      <c r="R24" s="14">
        <v>3</v>
      </c>
    </row>
    <row r="25" spans="1:18" ht="15" thickBot="1" x14ac:dyDescent="0.35">
      <c r="A25" s="7" t="s">
        <v>23</v>
      </c>
      <c r="B25" s="1" t="s">
        <v>48</v>
      </c>
      <c r="C25" s="1">
        <v>3.9055800000000001</v>
      </c>
      <c r="D25" s="2">
        <v>7</v>
      </c>
      <c r="E25" s="3">
        <f>AVERAGE(
   _xlfn.XLOOKUP(A25, $M$3:$M$42, $R$3:$R$42),
   _xlfn.XLOOKUP(B25, $M$3:$M$42, $R$3:$R$42)
)</f>
        <v>2.5</v>
      </c>
      <c r="F25" s="4">
        <v>0.33876632428180953</v>
      </c>
      <c r="G25" s="4">
        <v>0.53846153846153844</v>
      </c>
      <c r="H25" s="22">
        <v>0.625</v>
      </c>
      <c r="I25" s="42">
        <v>-30.591582058849781</v>
      </c>
      <c r="J25" s="42">
        <v>18.59521022613934</v>
      </c>
      <c r="K25" s="40">
        <v>26.583018793328495</v>
      </c>
      <c r="L25" s="21"/>
      <c r="M25" s="13" t="s">
        <v>23</v>
      </c>
      <c r="N25" s="5">
        <v>31.295228000000002</v>
      </c>
      <c r="O25" s="5">
        <v>34.333151999999998</v>
      </c>
      <c r="P25" s="5" t="s">
        <v>42</v>
      </c>
      <c r="Q25" s="5">
        <v>7</v>
      </c>
      <c r="R25" s="14">
        <v>5</v>
      </c>
    </row>
    <row r="26" spans="1:18" ht="15" thickBot="1" x14ac:dyDescent="0.35">
      <c r="A26" s="7" t="s">
        <v>24</v>
      </c>
      <c r="B26" s="1" t="s">
        <v>49</v>
      </c>
      <c r="C26" s="1">
        <v>3.5569600000000001</v>
      </c>
      <c r="D26" s="2">
        <v>9.5</v>
      </c>
      <c r="E26" s="3">
        <f>AVERAGE(
   _xlfn.XLOOKUP(A26, $M$3:$M$42, $R$3:$R$42),
   _xlfn.XLOOKUP(B26, $M$3:$M$42, $R$3:$R$42)
)</f>
        <v>2.5</v>
      </c>
      <c r="F26" s="4">
        <v>0.30483089718330708</v>
      </c>
      <c r="G26" s="4">
        <v>0.92307692307692313</v>
      </c>
      <c r="H26" s="22">
        <v>0.625</v>
      </c>
      <c r="I26" s="42">
        <v>-25.331382696096551</v>
      </c>
      <c r="J26" s="42">
        <v>24.251392292536888</v>
      </c>
      <c r="K26" s="40">
        <v>48.981233328281526</v>
      </c>
      <c r="L26" s="21"/>
      <c r="M26" s="13" t="s">
        <v>24</v>
      </c>
      <c r="N26" s="5">
        <v>31.284184100000001</v>
      </c>
      <c r="O26" s="5">
        <v>34.254663299999997</v>
      </c>
      <c r="P26" s="5" t="s">
        <v>42</v>
      </c>
      <c r="Q26" s="5">
        <v>10</v>
      </c>
      <c r="R26" s="14">
        <v>5</v>
      </c>
    </row>
    <row r="27" spans="1:18" ht="15" thickBot="1" x14ac:dyDescent="0.35">
      <c r="A27" s="7" t="s">
        <v>25</v>
      </c>
      <c r="B27" s="1" t="s">
        <v>49</v>
      </c>
      <c r="C27" s="1">
        <v>1.8322400000000001</v>
      </c>
      <c r="D27" s="2">
        <v>9.25</v>
      </c>
      <c r="E27" s="3">
        <f>AVERAGE(
   _xlfn.XLOOKUP(A27, $M$3:$M$42, $R$3:$R$42),
   _xlfn.XLOOKUP(B27, $M$3:$M$42, $R$3:$R$42)
)</f>
        <v>2.5</v>
      </c>
      <c r="F27" s="4">
        <v>0.1369429107644865</v>
      </c>
      <c r="G27" s="4">
        <v>0.88461538461538458</v>
      </c>
      <c r="H27" s="22">
        <v>0.625</v>
      </c>
      <c r="I27" s="42">
        <v>-28.426625569301933</v>
      </c>
      <c r="J27" s="42">
        <v>13.408882338176886</v>
      </c>
      <c r="K27" s="40">
        <v>43.315781292212804</v>
      </c>
      <c r="L27" s="21"/>
      <c r="M27" s="13" t="s">
        <v>25</v>
      </c>
      <c r="N27" s="5">
        <v>31.309273999999998</v>
      </c>
      <c r="O27" s="5">
        <v>34.241436</v>
      </c>
      <c r="P27" s="5" t="s">
        <v>42</v>
      </c>
      <c r="Q27" s="5">
        <v>9.5</v>
      </c>
      <c r="R27" s="14">
        <v>5</v>
      </c>
    </row>
    <row r="28" spans="1:18" ht="15" thickBot="1" x14ac:dyDescent="0.35">
      <c r="A28" s="7" t="s">
        <v>26</v>
      </c>
      <c r="B28" s="1" t="s">
        <v>49</v>
      </c>
      <c r="C28" s="1">
        <v>4.7595799999999997</v>
      </c>
      <c r="D28" s="2">
        <v>9</v>
      </c>
      <c r="E28" s="3">
        <f>AVERAGE(
   _xlfn.XLOOKUP(A28, $M$3:$M$42, $R$3:$R$42),
   _xlfn.XLOOKUP(B28, $M$3:$M$42, $R$3:$R$42)
)</f>
        <v>1.5</v>
      </c>
      <c r="F28" s="4">
        <v>0.42189653695498125</v>
      </c>
      <c r="G28" s="4">
        <v>0.84615384615384615</v>
      </c>
      <c r="H28" s="22">
        <v>0.375</v>
      </c>
      <c r="I28" s="42">
        <v>-7.2292442533675842</v>
      </c>
      <c r="J28" s="42">
        <v>34.736869140375795</v>
      </c>
      <c r="K28" s="40">
        <v>51.707161508330387</v>
      </c>
      <c r="L28" s="21"/>
      <c r="M28" s="13" t="s">
        <v>32</v>
      </c>
      <c r="N28" s="5">
        <v>31.420301800000001</v>
      </c>
      <c r="O28" s="5">
        <v>34.3597137</v>
      </c>
      <c r="P28" s="5" t="s">
        <v>44</v>
      </c>
      <c r="Q28" s="5">
        <v>2</v>
      </c>
      <c r="R28" s="14">
        <v>4</v>
      </c>
    </row>
    <row r="29" spans="1:18" ht="15" thickBot="1" x14ac:dyDescent="0.35">
      <c r="A29" s="7" t="s">
        <v>27</v>
      </c>
      <c r="B29" s="1" t="s">
        <v>47</v>
      </c>
      <c r="C29" s="1">
        <v>1.29891</v>
      </c>
      <c r="D29" s="2">
        <v>8.125</v>
      </c>
      <c r="E29" s="3">
        <f>AVERAGE(
   _xlfn.XLOOKUP(A29, $M$3:$M$42, $R$3:$R$42),
   _xlfn.XLOOKUP(B29, $M$3:$M$42, $R$3:$R$42)
)</f>
        <v>0.5</v>
      </c>
      <c r="F29" s="4">
        <v>8.5027411554904897E-2</v>
      </c>
      <c r="G29" s="4">
        <v>0.71153846153846156</v>
      </c>
      <c r="H29" s="22">
        <v>0.125</v>
      </c>
      <c r="I29" s="42">
        <v>3.1984880964004967</v>
      </c>
      <c r="J29" s="42">
        <v>16.832413924063527</v>
      </c>
      <c r="K29" s="40">
        <v>41.892855923405783</v>
      </c>
      <c r="L29" s="21"/>
      <c r="M29" s="13" t="s">
        <v>26</v>
      </c>
      <c r="N29" s="5">
        <v>31.354392799999999</v>
      </c>
      <c r="O29" s="5">
        <v>34.2811077</v>
      </c>
      <c r="P29" s="5" t="s">
        <v>42</v>
      </c>
      <c r="Q29" s="5">
        <v>9</v>
      </c>
      <c r="R29" s="14">
        <v>3</v>
      </c>
    </row>
    <row r="30" spans="1:18" ht="15" thickBot="1" x14ac:dyDescent="0.35">
      <c r="A30" s="7" t="s">
        <v>2</v>
      </c>
      <c r="B30" s="1" t="s">
        <v>28</v>
      </c>
      <c r="C30" s="1">
        <v>9.4179500000000012</v>
      </c>
      <c r="D30" s="2">
        <v>6.25</v>
      </c>
      <c r="E30" s="3">
        <f>AVERAGE(
   _xlfn.XLOOKUP(A30, $M$3:$M$42, $R$3:$R$42),
   _xlfn.XLOOKUP(B30, $M$3:$M$42, $R$3:$R$42)
)</f>
        <v>1</v>
      </c>
      <c r="F30" s="4">
        <v>0.87535237865325177</v>
      </c>
      <c r="G30" s="4">
        <v>0.42307692307692307</v>
      </c>
      <c r="H30" s="22">
        <v>0.25</v>
      </c>
      <c r="I30" s="42">
        <v>1.9764395259526224</v>
      </c>
      <c r="J30" s="42">
        <v>55.982681180733564</v>
      </c>
      <c r="K30" s="40">
        <v>37.891662957680424</v>
      </c>
      <c r="L30" s="21"/>
      <c r="M30" s="13" t="s">
        <v>30</v>
      </c>
      <c r="N30" s="5">
        <v>31.506956800000001</v>
      </c>
      <c r="O30" s="5">
        <v>34.439391899999997</v>
      </c>
      <c r="P30" s="5" t="s">
        <v>44</v>
      </c>
      <c r="Q30" s="5">
        <v>2</v>
      </c>
      <c r="R30" s="14">
        <v>1</v>
      </c>
    </row>
    <row r="31" spans="1:18" ht="15" thickBot="1" x14ac:dyDescent="0.35">
      <c r="A31" s="7" t="s">
        <v>3</v>
      </c>
      <c r="B31" s="1" t="s">
        <v>28</v>
      </c>
      <c r="C31" s="1">
        <v>6.8903800000000004</v>
      </c>
      <c r="D31" s="2">
        <v>6.25</v>
      </c>
      <c r="E31" s="3">
        <f>AVERAGE(
   _xlfn.XLOOKUP(A31, $M$3:$M$42, $R$3:$R$42),
   _xlfn.XLOOKUP(B31, $M$3:$M$42, $R$3:$R$42)
)</f>
        <v>1</v>
      </c>
      <c r="F31" s="4">
        <v>0.62931323152640328</v>
      </c>
      <c r="G31" s="4">
        <v>0.42307692307692307</v>
      </c>
      <c r="H31" s="22">
        <v>0.25</v>
      </c>
      <c r="I31" s="42">
        <v>-1.7141476809501039</v>
      </c>
      <c r="J31" s="42">
        <v>41.220332353122664</v>
      </c>
      <c r="K31" s="40">
        <v>32.97088001514345</v>
      </c>
      <c r="L31" s="21"/>
      <c r="M31" s="13" t="s">
        <v>29</v>
      </c>
      <c r="N31" s="5">
        <v>31.5245715</v>
      </c>
      <c r="O31" s="5">
        <v>34.444526199999999</v>
      </c>
      <c r="P31" s="5" t="s">
        <v>44</v>
      </c>
      <c r="Q31" s="5">
        <v>3</v>
      </c>
      <c r="R31" s="14">
        <v>1</v>
      </c>
    </row>
    <row r="32" spans="1:18" ht="15" thickBot="1" x14ac:dyDescent="0.35">
      <c r="A32" s="7" t="s">
        <v>4</v>
      </c>
      <c r="B32" s="1" t="s">
        <v>28</v>
      </c>
      <c r="C32" s="1">
        <v>3.1044899999999997</v>
      </c>
      <c r="D32" s="2">
        <v>6.25</v>
      </c>
      <c r="E32" s="3">
        <f>AVERAGE(
   _xlfn.XLOOKUP(A32, $M$3:$M$42, $R$3:$R$42),
   _xlfn.XLOOKUP(B32, $M$3:$M$42, $R$3:$R$42)
)</f>
        <v>1</v>
      </c>
      <c r="F32" s="4">
        <v>0.26078648579193697</v>
      </c>
      <c r="G32" s="4">
        <v>0.42307692307692307</v>
      </c>
      <c r="H32" s="22">
        <v>0.25</v>
      </c>
      <c r="I32" s="42">
        <v>-7.2420488669670995</v>
      </c>
      <c r="J32" s="42">
        <v>19.108727609054682</v>
      </c>
      <c r="K32" s="40">
        <v>25.600345100454124</v>
      </c>
      <c r="L32" s="21"/>
      <c r="M32" s="13" t="s">
        <v>27</v>
      </c>
      <c r="N32" s="5">
        <v>31.5422251</v>
      </c>
      <c r="O32" s="5">
        <v>34.495159100000002</v>
      </c>
      <c r="P32" s="5" t="s">
        <v>42</v>
      </c>
      <c r="Q32" s="5">
        <v>8.5</v>
      </c>
      <c r="R32" s="14">
        <v>1</v>
      </c>
    </row>
    <row r="33" spans="1:18" ht="15" thickBot="1" x14ac:dyDescent="0.35">
      <c r="A33" s="7" t="s">
        <v>5</v>
      </c>
      <c r="B33" s="1" t="s">
        <v>29</v>
      </c>
      <c r="C33" s="1">
        <v>6.11815</v>
      </c>
      <c r="D33" s="2">
        <v>6</v>
      </c>
      <c r="E33" s="3">
        <f>AVERAGE(
   _xlfn.XLOOKUP(A33, $M$3:$M$42, $R$3:$R$42),
   _xlfn.XLOOKUP(B33, $M$3:$M$42, $R$3:$R$42)
)</f>
        <v>1</v>
      </c>
      <c r="F33" s="4">
        <v>0.55414268804560296</v>
      </c>
      <c r="G33" s="4">
        <v>0.38461538461538464</v>
      </c>
      <c r="H33" s="22">
        <v>0.25</v>
      </c>
      <c r="I33" s="42">
        <v>-3.4186289100851863</v>
      </c>
      <c r="J33" s="42">
        <v>35.94086897504387</v>
      </c>
      <c r="K33" s="40">
        <v>29.159776837835139</v>
      </c>
      <c r="L33" s="21"/>
      <c r="M33" s="13" t="s">
        <v>35</v>
      </c>
      <c r="N33" s="5">
        <v>31.363652999999999</v>
      </c>
      <c r="O33" s="5">
        <v>34.295552000000001</v>
      </c>
      <c r="P33" s="5" t="s">
        <v>44</v>
      </c>
      <c r="Q33" s="5">
        <v>3</v>
      </c>
      <c r="R33" s="14">
        <v>3</v>
      </c>
    </row>
    <row r="34" spans="1:18" ht="15" thickBot="1" x14ac:dyDescent="0.35">
      <c r="A34" s="7" t="s">
        <v>5</v>
      </c>
      <c r="B34" s="1" t="s">
        <v>28</v>
      </c>
      <c r="C34" s="1">
        <v>4.8907600000000002</v>
      </c>
      <c r="D34" s="2">
        <v>6.5</v>
      </c>
      <c r="E34" s="3">
        <f>AVERAGE(
   _xlfn.XLOOKUP(A34, $M$3:$M$42, $R$3:$R$42),
   _xlfn.XLOOKUP(B34, $M$3:$M$42, $R$3:$R$42)
)</f>
        <v>1</v>
      </c>
      <c r="F34" s="4">
        <v>0.43466588273772916</v>
      </c>
      <c r="G34" s="4">
        <v>0.46153846153846156</v>
      </c>
      <c r="H34" s="22">
        <v>0.25</v>
      </c>
      <c r="I34" s="42">
        <v>-4.05693483585714</v>
      </c>
      <c r="J34" s="42">
        <v>30.31072219503298</v>
      </c>
      <c r="K34" s="40">
        <v>31.38562534706228</v>
      </c>
      <c r="L34" s="21"/>
      <c r="M34" s="13" t="s">
        <v>31</v>
      </c>
      <c r="N34" s="5">
        <v>31.470486600000001</v>
      </c>
      <c r="O34" s="5">
        <v>34.406066199999998</v>
      </c>
      <c r="P34" s="5" t="s">
        <v>44</v>
      </c>
      <c r="Q34" s="5">
        <v>3.5</v>
      </c>
      <c r="R34" s="14">
        <v>2</v>
      </c>
    </row>
    <row r="35" spans="1:18" ht="15" thickBot="1" x14ac:dyDescent="0.35">
      <c r="A35" s="7" t="s">
        <v>6</v>
      </c>
      <c r="B35" s="1" t="s">
        <v>29</v>
      </c>
      <c r="C35" s="1">
        <v>1.84745</v>
      </c>
      <c r="D35" s="2">
        <v>5.75</v>
      </c>
      <c r="E35" s="3">
        <f>AVERAGE(
   _xlfn.XLOOKUP(A35, $M$3:$M$42, $R$3:$R$42),
   _xlfn.XLOOKUP(B35, $M$3:$M$42, $R$3:$R$42)
)</f>
        <v>1</v>
      </c>
      <c r="F35" s="4">
        <v>0.13842348516115971</v>
      </c>
      <c r="G35" s="4">
        <v>0.34615384615384615</v>
      </c>
      <c r="H35" s="22">
        <v>0.25</v>
      </c>
      <c r="I35" s="42">
        <v>-10.231340030274911</v>
      </c>
      <c r="J35" s="42">
        <v>10.228486032746508</v>
      </c>
      <c r="K35" s="40">
        <v>18.53770047245396</v>
      </c>
      <c r="L35" s="21"/>
      <c r="M35" s="13" t="s">
        <v>28</v>
      </c>
      <c r="N35" s="5">
        <v>31.5337295</v>
      </c>
      <c r="O35" s="5">
        <v>34.454332999999998</v>
      </c>
      <c r="P35" s="5" t="s">
        <v>44</v>
      </c>
      <c r="Q35" s="5">
        <v>4</v>
      </c>
      <c r="R35" s="14">
        <v>1</v>
      </c>
    </row>
    <row r="36" spans="1:18" ht="15" thickBot="1" x14ac:dyDescent="0.35">
      <c r="A36" s="7" t="s">
        <v>6</v>
      </c>
      <c r="B36" s="1" t="s">
        <v>28</v>
      </c>
      <c r="C36" s="1">
        <v>0.50573000000000001</v>
      </c>
      <c r="D36" s="2">
        <v>6.25</v>
      </c>
      <c r="E36" s="3">
        <f>AVERAGE(
   _xlfn.XLOOKUP(A36, $M$3:$M$42, $R$3:$R$42),
   _xlfn.XLOOKUP(B36, $M$3:$M$42, $R$3:$R$42)
)</f>
        <v>1</v>
      </c>
      <c r="F36" s="4">
        <v>7.8175496250379641E-3</v>
      </c>
      <c r="G36" s="4">
        <v>0.42307692307692307</v>
      </c>
      <c r="H36" s="22">
        <v>0.25</v>
      </c>
      <c r="I36" s="42">
        <v>-11.036582909470583</v>
      </c>
      <c r="J36" s="42">
        <v>3.9305914390407399</v>
      </c>
      <c r="K36" s="40">
        <v>20.540966377116142</v>
      </c>
      <c r="L36" s="21"/>
      <c r="M36" s="13" t="s">
        <v>33</v>
      </c>
      <c r="N36" s="5">
        <v>31.478271100000001</v>
      </c>
      <c r="O36" s="5">
        <v>34.426813899999999</v>
      </c>
      <c r="P36" s="5" t="s">
        <v>44</v>
      </c>
      <c r="Q36" s="5">
        <v>3.5</v>
      </c>
      <c r="R36" s="14">
        <v>2</v>
      </c>
    </row>
    <row r="37" spans="1:18" ht="15" thickBot="1" x14ac:dyDescent="0.35">
      <c r="A37" s="7" t="s">
        <v>7</v>
      </c>
      <c r="B37" s="1" t="s">
        <v>30</v>
      </c>
      <c r="C37" s="1">
        <v>3.6844200000000003</v>
      </c>
      <c r="D37" s="2">
        <v>6</v>
      </c>
      <c r="E37" s="3">
        <f>AVERAGE(
   _xlfn.XLOOKUP(A37, $M$3:$M$42, $R$3:$R$42),
   _xlfn.XLOOKUP(B37, $M$3:$M$42, $R$3:$R$42)
)</f>
        <v>1</v>
      </c>
      <c r="F37" s="4">
        <v>0.31723813009586266</v>
      </c>
      <c r="G37" s="4">
        <v>0.38461538461538464</v>
      </c>
      <c r="H37" s="22">
        <v>0.25</v>
      </c>
      <c r="I37" s="42">
        <v>-6.9721972793312892</v>
      </c>
      <c r="J37" s="42">
        <v>21.726595498059453</v>
      </c>
      <c r="K37" s="40">
        <v>24.421685678840333</v>
      </c>
      <c r="L37" s="21"/>
      <c r="M37" s="13" t="s">
        <v>34</v>
      </c>
      <c r="N37" s="5">
        <v>31.3232228</v>
      </c>
      <c r="O37" s="5">
        <v>34.321413399999997</v>
      </c>
      <c r="P37" s="5" t="s">
        <v>44</v>
      </c>
      <c r="Q37" s="5">
        <v>4</v>
      </c>
      <c r="R37" s="14">
        <v>3</v>
      </c>
    </row>
    <row r="38" spans="1:18" ht="15" thickBot="1" x14ac:dyDescent="0.35">
      <c r="A38" s="7" t="s">
        <v>7</v>
      </c>
      <c r="B38" s="1" t="s">
        <v>29</v>
      </c>
      <c r="C38" s="1">
        <v>1.3107599999999999</v>
      </c>
      <c r="D38" s="2">
        <v>6.5</v>
      </c>
      <c r="E38" s="3">
        <f>AVERAGE(
   _xlfn.XLOOKUP(A38, $M$3:$M$42, $R$3:$R$42),
   _xlfn.XLOOKUP(B38, $M$3:$M$42, $R$3:$R$42)
)</f>
        <v>1</v>
      </c>
      <c r="F38" s="4">
        <v>8.618091626237219E-2</v>
      </c>
      <c r="G38" s="4">
        <v>0.46153846153846156</v>
      </c>
      <c r="H38" s="22">
        <v>0.25</v>
      </c>
      <c r="I38" s="42">
        <v>-9.2842093329874924</v>
      </c>
      <c r="J38" s="42">
        <v>9.4016242065115616</v>
      </c>
      <c r="K38" s="40">
        <v>24.41592601755514</v>
      </c>
      <c r="L38" s="21"/>
      <c r="M38" s="13" t="s">
        <v>45</v>
      </c>
      <c r="N38" s="5">
        <v>31.428897166666601</v>
      </c>
      <c r="O38" s="5">
        <v>34.379615333333298</v>
      </c>
      <c r="P38" s="5" t="s">
        <v>46</v>
      </c>
      <c r="Q38" s="5">
        <v>5.5</v>
      </c>
      <c r="R38" s="15">
        <v>0</v>
      </c>
    </row>
    <row r="39" spans="1:18" ht="15" thickBot="1" x14ac:dyDescent="0.35">
      <c r="A39" s="7" t="s">
        <v>7</v>
      </c>
      <c r="B39" s="1" t="s">
        <v>28</v>
      </c>
      <c r="C39" s="1">
        <v>0.49008999999999997</v>
      </c>
      <c r="D39" s="2">
        <v>7</v>
      </c>
      <c r="E39" s="3">
        <f>AVERAGE(
   _xlfn.XLOOKUP(A39, $M$3:$M$42, $R$3:$R$42),
   _xlfn.XLOOKUP(B39, $M$3:$M$42, $R$3:$R$42)
)</f>
        <v>1</v>
      </c>
      <c r="F39" s="4">
        <v>6.2951180955199198E-3</v>
      </c>
      <c r="G39" s="4">
        <v>0.53846153846153844</v>
      </c>
      <c r="H39" s="22">
        <v>0.25</v>
      </c>
      <c r="I39" s="42">
        <v>-9.3286501516441245</v>
      </c>
      <c r="J39" s="42">
        <v>6.1469378549619647</v>
      </c>
      <c r="K39" s="40">
        <v>27.433594669602702</v>
      </c>
      <c r="L39" s="21"/>
      <c r="M39" s="13" t="s">
        <v>47</v>
      </c>
      <c r="N39" s="5">
        <v>31.547899279999999</v>
      </c>
      <c r="O39" s="5">
        <v>34.507140280000002</v>
      </c>
      <c r="P39" s="5" t="s">
        <v>46</v>
      </c>
      <c r="Q39" s="5">
        <v>7.75</v>
      </c>
      <c r="R39" s="15">
        <v>0</v>
      </c>
    </row>
    <row r="40" spans="1:18" ht="15" thickBot="1" x14ac:dyDescent="0.35">
      <c r="A40" s="7" t="s">
        <v>8</v>
      </c>
      <c r="B40" s="1" t="s">
        <v>29</v>
      </c>
      <c r="C40" s="1">
        <v>3.8816700000000002</v>
      </c>
      <c r="D40" s="2">
        <v>5.5</v>
      </c>
      <c r="E40" s="3">
        <f>AVERAGE(
   _xlfn.XLOOKUP(A40, $M$3:$M$42, $R$3:$R$42),
   _xlfn.XLOOKUP(B40, $M$3:$M$42, $R$3:$R$42)
)</f>
        <v>1</v>
      </c>
      <c r="F40" s="4">
        <v>0.33643887301129954</v>
      </c>
      <c r="G40" s="4">
        <v>0.30769230769230771</v>
      </c>
      <c r="H40" s="22">
        <v>0.25</v>
      </c>
      <c r="I40" s="42">
        <v>-7.8380322894458896</v>
      </c>
      <c r="J40" s="42">
        <v>21.340178534524128</v>
      </c>
      <c r="K40" s="40">
        <v>20.190315921764459</v>
      </c>
      <c r="L40" s="21"/>
      <c r="M40" s="13" t="s">
        <v>48</v>
      </c>
      <c r="N40" s="5">
        <v>31.329750166666599</v>
      </c>
      <c r="O40" s="5">
        <v>34.340728499999997</v>
      </c>
      <c r="P40" s="5" t="s">
        <v>46</v>
      </c>
      <c r="Q40" s="5">
        <v>7</v>
      </c>
      <c r="R40" s="15">
        <v>0</v>
      </c>
    </row>
    <row r="41" spans="1:18" ht="15" thickBot="1" x14ac:dyDescent="0.35">
      <c r="A41" s="7" t="s">
        <v>8</v>
      </c>
      <c r="B41" s="1" t="s">
        <v>28</v>
      </c>
      <c r="C41" s="1">
        <v>3.5313400000000001</v>
      </c>
      <c r="D41" s="2">
        <v>6</v>
      </c>
      <c r="E41" s="3">
        <f>AVERAGE(
   _xlfn.XLOOKUP(A41, $M$3:$M$42, $R$3:$R$42),
   _xlfn.XLOOKUP(B41, $M$3:$M$42, $R$3:$R$42)
)</f>
        <v>1</v>
      </c>
      <c r="F41" s="4">
        <v>0.30233699080311194</v>
      </c>
      <c r="G41" s="4">
        <v>0.38461538461538464</v>
      </c>
      <c r="H41" s="22">
        <v>0.25</v>
      </c>
      <c r="I41" s="42">
        <v>-7.19571436872255</v>
      </c>
      <c r="J41" s="42">
        <v>20.83252714049441</v>
      </c>
      <c r="K41" s="40">
        <v>24.123662892985319</v>
      </c>
      <c r="L41" s="21"/>
      <c r="M41" s="13" t="s">
        <v>49</v>
      </c>
      <c r="N41" s="5">
        <v>31.315950300000001</v>
      </c>
      <c r="O41" s="5">
        <v>34.259068999999997</v>
      </c>
      <c r="P41" s="5" t="s">
        <v>46</v>
      </c>
      <c r="Q41" s="5">
        <v>9</v>
      </c>
      <c r="R41" s="15">
        <v>0</v>
      </c>
    </row>
    <row r="42" spans="1:18" x14ac:dyDescent="0.3">
      <c r="A42" s="7" t="s">
        <v>9</v>
      </c>
      <c r="B42" s="1" t="s">
        <v>30</v>
      </c>
      <c r="C42" s="1">
        <v>3.8852399999999996</v>
      </c>
      <c r="D42" s="2">
        <v>5.5</v>
      </c>
      <c r="E42" s="3">
        <f>AVERAGE(
   _xlfn.XLOOKUP(A42, $M$3:$M$42, $R$3:$R$42),
   _xlfn.XLOOKUP(B42, $M$3:$M$42, $R$3:$R$42)
)</f>
        <v>0.5</v>
      </c>
      <c r="F42" s="4">
        <v>0.33678638455608079</v>
      </c>
      <c r="G42" s="4">
        <v>0.30769230769230771</v>
      </c>
      <c r="H42" s="22">
        <v>0.125</v>
      </c>
      <c r="I42" s="42">
        <v>0.91718038372582689</v>
      </c>
      <c r="J42" s="42">
        <v>23.861029227210999</v>
      </c>
      <c r="K42" s="40">
        <v>22.697266152660081</v>
      </c>
      <c r="L42" s="21"/>
      <c r="M42" s="19" t="s">
        <v>50</v>
      </c>
      <c r="N42" s="12">
        <v>31.521608090000001</v>
      </c>
      <c r="O42" s="12">
        <v>34.463278600000002</v>
      </c>
      <c r="P42" s="12" t="s">
        <v>46</v>
      </c>
      <c r="Q42" s="12">
        <v>10</v>
      </c>
      <c r="R42" s="20">
        <v>0</v>
      </c>
    </row>
    <row r="43" spans="1:18" x14ac:dyDescent="0.3">
      <c r="A43" s="7" t="s">
        <v>9</v>
      </c>
      <c r="B43" s="1" t="s">
        <v>29</v>
      </c>
      <c r="C43" s="1">
        <v>3.7564199999999999</v>
      </c>
      <c r="D43" s="2">
        <v>6</v>
      </c>
      <c r="E43" s="3">
        <f>AVERAGE(
   _xlfn.XLOOKUP(A43, $M$3:$M$42, $R$3:$R$42),
   _xlfn.XLOOKUP(B43, $M$3:$M$42, $R$3:$R$42)
)</f>
        <v>0.5</v>
      </c>
      <c r="F43" s="4">
        <v>0.32424676629313237</v>
      </c>
      <c r="G43" s="4">
        <v>0.38461538461538464</v>
      </c>
      <c r="H43" s="22">
        <v>0.125</v>
      </c>
      <c r="I43" s="42">
        <v>1.8829322636277555</v>
      </c>
      <c r="J43" s="42">
        <v>24.647113669895635</v>
      </c>
      <c r="K43" s="40">
        <v>27.06185840278572</v>
      </c>
      <c r="L43" s="21"/>
    </row>
    <row r="44" spans="1:18" x14ac:dyDescent="0.3">
      <c r="A44" s="7" t="s">
        <v>10</v>
      </c>
      <c r="B44" s="1" t="s">
        <v>30</v>
      </c>
      <c r="C44" s="1">
        <v>2.0472100000000002</v>
      </c>
      <c r="D44" s="2">
        <v>5</v>
      </c>
      <c r="E44" s="3">
        <f>AVERAGE(
   _xlfn.XLOOKUP(A44, $M$3:$M$42, $R$3:$R$42),
   _xlfn.XLOOKUP(B44, $M$3:$M$42, $R$3:$R$42)
)</f>
        <v>1</v>
      </c>
      <c r="F44" s="4">
        <v>0.15786855692180704</v>
      </c>
      <c r="G44" s="4">
        <v>0.23076923076923078</v>
      </c>
      <c r="H44" s="22">
        <v>0.25</v>
      </c>
      <c r="I44" s="42">
        <v>-11.670433184634433</v>
      </c>
      <c r="J44" s="42">
        <v>9.0874980306930375</v>
      </c>
      <c r="K44" s="40">
        <v>12.003524984589987</v>
      </c>
      <c r="L44" s="21"/>
    </row>
    <row r="45" spans="1:18" x14ac:dyDescent="0.3">
      <c r="A45" s="7" t="s">
        <v>10</v>
      </c>
      <c r="B45" s="1" t="s">
        <v>29</v>
      </c>
      <c r="C45" s="1">
        <v>1.0951300000000002</v>
      </c>
      <c r="D45" s="2">
        <v>5.5</v>
      </c>
      <c r="E45" s="3">
        <f>AVERAGE(
   _xlfn.XLOOKUP(A45, $M$3:$M$42, $R$3:$R$42),
   _xlfn.XLOOKUP(B45, $M$3:$M$42, $R$3:$R$42)
)</f>
        <v>1</v>
      </c>
      <c r="F45" s="4">
        <v>6.5191024273243386E-2</v>
      </c>
      <c r="G45" s="4">
        <v>0.30769230769230771</v>
      </c>
      <c r="H45" s="22">
        <v>0.25</v>
      </c>
      <c r="I45" s="42">
        <v>-11.906750020516732</v>
      </c>
      <c r="J45" s="42">
        <v>5.0653076102407564</v>
      </c>
      <c r="K45" s="40">
        <v>14.765358947003332</v>
      </c>
      <c r="L45" s="21"/>
    </row>
    <row r="46" spans="1:18" x14ac:dyDescent="0.3">
      <c r="A46" s="7" t="s">
        <v>10</v>
      </c>
      <c r="B46" s="1" t="s">
        <v>28</v>
      </c>
      <c r="C46" s="1">
        <v>2.5287600000000001</v>
      </c>
      <c r="D46" s="2">
        <v>6</v>
      </c>
      <c r="E46" s="3">
        <f>AVERAGE(
   _xlfn.XLOOKUP(A46, $M$3:$M$42, $R$3:$R$42),
   _xlfn.XLOOKUP(B46, $M$3:$M$42, $R$3:$R$42)
)</f>
        <v>1</v>
      </c>
      <c r="F46" s="4">
        <v>0.20474367859951881</v>
      </c>
      <c r="G46" s="4">
        <v>0.38461538461538464</v>
      </c>
      <c r="H46" s="22">
        <v>0.25</v>
      </c>
      <c r="I46" s="42">
        <v>-8.6596140517764475</v>
      </c>
      <c r="J46" s="42">
        <v>14.976928408278823</v>
      </c>
      <c r="K46" s="40">
        <v>22.171796648913457</v>
      </c>
      <c r="L46" s="21"/>
    </row>
    <row r="47" spans="1:18" x14ac:dyDescent="0.3">
      <c r="A47" s="7" t="s">
        <v>43</v>
      </c>
      <c r="B47" s="1" t="s">
        <v>30</v>
      </c>
      <c r="C47" s="1">
        <v>2.1236999999999999</v>
      </c>
      <c r="D47" s="2">
        <v>5.5</v>
      </c>
      <c r="E47" s="3">
        <f>AVERAGE(
   _xlfn.XLOOKUP(A47, $M$3:$M$42, $R$3:$R$42),
   _xlfn.XLOOKUP(B47, $M$3:$M$42, $R$3:$R$42)
)</f>
        <v>1</v>
      </c>
      <c r="F47" s="4">
        <v>0.16531425945971207</v>
      </c>
      <c r="G47" s="4">
        <v>0.30769230769230771</v>
      </c>
      <c r="H47" s="22">
        <v>0.25</v>
      </c>
      <c r="I47" s="42">
        <v>-10.404901492719702</v>
      </c>
      <c r="J47" s="42">
        <v>11.072701721428878</v>
      </c>
      <c r="K47" s="40">
        <v>16.767823650732705</v>
      </c>
      <c r="L47" s="21"/>
    </row>
    <row r="48" spans="1:18" x14ac:dyDescent="0.3">
      <c r="A48" s="7" t="s">
        <v>43</v>
      </c>
      <c r="B48" s="1" t="s">
        <v>29</v>
      </c>
      <c r="C48" s="1">
        <v>2.4323699999999997</v>
      </c>
      <c r="D48" s="2">
        <v>6</v>
      </c>
      <c r="E48" s="3">
        <f>AVERAGE(
   _xlfn.XLOOKUP(A48, $M$3:$M$42, $R$3:$R$42),
   _xlfn.XLOOKUP(B48, $M$3:$M$42, $R$3:$R$42)
)</f>
        <v>1</v>
      </c>
      <c r="F48" s="4">
        <v>0.19536086689042387</v>
      </c>
      <c r="G48" s="4">
        <v>0.38461538461538464</v>
      </c>
      <c r="H48" s="22">
        <v>0.25</v>
      </c>
      <c r="I48" s="42">
        <v>-8.8003562274128715</v>
      </c>
      <c r="J48" s="42">
        <v>14.413959705733125</v>
      </c>
      <c r="K48" s="40">
        <v>21.984140414731556</v>
      </c>
      <c r="L48" s="21"/>
    </row>
    <row r="49" spans="1:12" x14ac:dyDescent="0.3">
      <c r="A49" s="7" t="s">
        <v>43</v>
      </c>
      <c r="B49" s="1" t="s">
        <v>28</v>
      </c>
      <c r="C49" s="1">
        <v>3.7262900000000001</v>
      </c>
      <c r="D49" s="2">
        <v>6.5</v>
      </c>
      <c r="E49" s="3">
        <f>AVERAGE(
   _xlfn.XLOOKUP(A49, $M$3:$M$42, $R$3:$R$42),
   _xlfn.XLOOKUP(B49, $M$3:$M$42, $R$3:$R$42)
)</f>
        <v>1</v>
      </c>
      <c r="F49" s="4">
        <v>0.32131384672891383</v>
      </c>
      <c r="G49" s="4">
        <v>0.46153846153846156</v>
      </c>
      <c r="H49" s="22">
        <v>0.25</v>
      </c>
      <c r="I49" s="42">
        <v>-5.7572153759893689</v>
      </c>
      <c r="J49" s="42">
        <v>23.509600034504057</v>
      </c>
      <c r="K49" s="40">
        <v>29.118584626885973</v>
      </c>
      <c r="L49" s="21"/>
    </row>
    <row r="50" spans="1:12" x14ac:dyDescent="0.3">
      <c r="A50" s="7" t="s">
        <v>11</v>
      </c>
      <c r="B50" s="1" t="s">
        <v>29</v>
      </c>
      <c r="C50" s="1">
        <v>2.6973499999999997</v>
      </c>
      <c r="D50" s="2">
        <v>5.75</v>
      </c>
      <c r="E50" s="3">
        <f>AVERAGE(
   _xlfn.XLOOKUP(A50, $M$3:$M$42, $R$3:$R$42),
   _xlfn.XLOOKUP(B50, $M$3:$M$42, $R$3:$R$42)
)</f>
        <v>1</v>
      </c>
      <c r="F50" s="4">
        <v>0.22115459493976469</v>
      </c>
      <c r="G50" s="4">
        <v>0.34615384615384615</v>
      </c>
      <c r="H50" s="22">
        <v>0.25</v>
      </c>
      <c r="I50" s="42">
        <v>-8.9903733835958377</v>
      </c>
      <c r="J50" s="42">
        <v>15.192352619462806</v>
      </c>
      <c r="K50" s="40">
        <v>20.192322668026065</v>
      </c>
      <c r="L50" s="21"/>
    </row>
    <row r="51" spans="1:12" x14ac:dyDescent="0.3">
      <c r="A51" s="7" t="s">
        <v>11</v>
      </c>
      <c r="B51" s="1" t="s">
        <v>28</v>
      </c>
      <c r="C51" s="1">
        <v>1.4757100000000001</v>
      </c>
      <c r="D51" s="2">
        <v>6.25</v>
      </c>
      <c r="E51" s="3">
        <f>AVERAGE(
   _xlfn.XLOOKUP(A51, $M$3:$M$42, $R$3:$R$42),
   _xlfn.XLOOKUP(B51, $M$3:$M$42, $R$3:$R$42)
)</f>
        <v>1</v>
      </c>
      <c r="F51" s="4">
        <v>0.10223750710597838</v>
      </c>
      <c r="G51" s="4">
        <v>0.42307692307692307</v>
      </c>
      <c r="H51" s="22">
        <v>0.25</v>
      </c>
      <c r="I51" s="42">
        <v>-9.6202835472564772</v>
      </c>
      <c r="J51" s="42">
        <v>9.5957888878971644</v>
      </c>
      <c r="K51" s="40">
        <v>22.429365526734951</v>
      </c>
      <c r="L51" s="21"/>
    </row>
    <row r="52" spans="1:12" x14ac:dyDescent="0.3">
      <c r="A52" s="7" t="s">
        <v>12</v>
      </c>
      <c r="B52" s="1" t="s">
        <v>31</v>
      </c>
      <c r="C52" s="1">
        <v>3.4267699999999999</v>
      </c>
      <c r="D52" s="2">
        <v>5</v>
      </c>
      <c r="E52" s="3">
        <f>AVERAGE(
   _xlfn.XLOOKUP(A52, $M$3:$M$42, $R$3:$R$42),
   _xlfn.XLOOKUP(B52, $M$3:$M$42, $R$3:$R$42)
)</f>
        <v>3</v>
      </c>
      <c r="F52" s="4">
        <v>0.29215792014827163</v>
      </c>
      <c r="G52" s="4">
        <v>0.23076923076923078</v>
      </c>
      <c r="H52" s="22">
        <v>0.75</v>
      </c>
      <c r="I52" s="42">
        <v>-44.656092736237454</v>
      </c>
      <c r="J52" s="42">
        <v>7.1448598242809105</v>
      </c>
      <c r="K52" s="40">
        <v>4.6893122491192765</v>
      </c>
      <c r="L52" s="21"/>
    </row>
    <row r="53" spans="1:12" x14ac:dyDescent="0.3">
      <c r="A53" s="7" t="s">
        <v>13</v>
      </c>
      <c r="B53" s="1" t="s">
        <v>32</v>
      </c>
      <c r="C53" s="1">
        <v>5.9210900000000004</v>
      </c>
      <c r="D53" s="2">
        <v>4</v>
      </c>
      <c r="E53" s="3">
        <f>AVERAGE(
   _xlfn.XLOOKUP(A53, $M$3:$M$42, $R$3:$R$42),
   _xlfn.XLOOKUP(B53, $M$3:$M$42, $R$3:$R$42)
)</f>
        <v>4</v>
      </c>
      <c r="F53" s="4">
        <v>0.53496044014235333</v>
      </c>
      <c r="G53" s="4">
        <v>7.6923076923076927E-2</v>
      </c>
      <c r="H53" s="22">
        <v>1</v>
      </c>
      <c r="I53" s="42">
        <v>-60.821747244018539</v>
      </c>
      <c r="J53" s="42">
        <v>13.636087947002734</v>
      </c>
      <c r="K53" s="40">
        <v>-4.6854065817683201</v>
      </c>
      <c r="L53" s="21"/>
    </row>
    <row r="54" spans="1:12" x14ac:dyDescent="0.3">
      <c r="A54" s="7" t="s">
        <v>13</v>
      </c>
      <c r="B54" s="1" t="s">
        <v>31</v>
      </c>
      <c r="C54" s="1">
        <v>5.01206</v>
      </c>
      <c r="D54" s="2">
        <v>4.75</v>
      </c>
      <c r="E54" s="3">
        <f>AVERAGE(
   _xlfn.XLOOKUP(A54, $M$3:$M$42, $R$3:$R$42),
   _xlfn.XLOOKUP(B54, $M$3:$M$42, $R$3:$R$42)
)</f>
        <v>3</v>
      </c>
      <c r="F54" s="4">
        <v>0.44647348788674052</v>
      </c>
      <c r="G54" s="4">
        <v>0.19230769230769232</v>
      </c>
      <c r="H54" s="22">
        <v>0.75</v>
      </c>
      <c r="I54" s="42">
        <v>-42.918282297083501</v>
      </c>
      <c r="J54" s="42">
        <v>15.634563119358269</v>
      </c>
      <c r="K54" s="40">
        <v>5.4679312961963493</v>
      </c>
      <c r="L54" s="21"/>
    </row>
    <row r="55" spans="1:12" x14ac:dyDescent="0.3">
      <c r="A55" s="7" t="s">
        <v>13</v>
      </c>
      <c r="B55" s="1" t="s">
        <v>33</v>
      </c>
      <c r="C55" s="1">
        <v>5.9489900000000002</v>
      </c>
      <c r="D55" s="2">
        <v>4.75</v>
      </c>
      <c r="E55" s="3">
        <f>AVERAGE(
   _xlfn.XLOOKUP(A55, $M$3:$M$42, $R$3:$R$42),
   _xlfn.XLOOKUP(B55, $M$3:$M$42, $R$3:$R$42)
)</f>
        <v>3</v>
      </c>
      <c r="F55" s="4">
        <v>0.5376762866687953</v>
      </c>
      <c r="G55" s="4">
        <v>0.19230769230769232</v>
      </c>
      <c r="H55" s="22">
        <v>0.75</v>
      </c>
      <c r="I55" s="42">
        <v>-41.550240315352674</v>
      </c>
      <c r="J55" s="42">
        <v>21.106731046281556</v>
      </c>
      <c r="K55" s="40">
        <v>7.2919872718374439</v>
      </c>
      <c r="L55" s="21"/>
    </row>
    <row r="56" spans="1:12" x14ac:dyDescent="0.3">
      <c r="A56" s="7" t="s">
        <v>14</v>
      </c>
      <c r="B56" s="1" t="s">
        <v>32</v>
      </c>
      <c r="C56" s="1">
        <v>3.5258000000000003</v>
      </c>
      <c r="D56" s="2">
        <v>3.5</v>
      </c>
      <c r="E56" s="3">
        <f>AVERAGE(
   _xlfn.XLOOKUP(A56, $M$3:$M$42, $R$3:$R$42),
   _xlfn.XLOOKUP(B56, $M$3:$M$42, $R$3:$R$42)
)</f>
        <v>4</v>
      </c>
      <c r="F56" s="4">
        <v>0.3017977151845998</v>
      </c>
      <c r="G56" s="4">
        <v>0</v>
      </c>
      <c r="H56" s="22">
        <v>1</v>
      </c>
      <c r="I56" s="42">
        <v>-65.473034272231004</v>
      </c>
      <c r="J56" s="42">
        <v>-1.8921370889240148</v>
      </c>
      <c r="K56" s="40">
        <v>-13.964045696308006</v>
      </c>
      <c r="L56" s="21"/>
    </row>
    <row r="57" spans="1:12" x14ac:dyDescent="0.3">
      <c r="A57" s="7" t="s">
        <v>15</v>
      </c>
      <c r="B57" s="1" t="s">
        <v>32</v>
      </c>
      <c r="C57" s="1">
        <v>2.0338499999999997</v>
      </c>
      <c r="D57" s="2">
        <v>3.75</v>
      </c>
      <c r="E57" s="3">
        <f>AVERAGE(
   _xlfn.XLOOKUP(A57, $M$3:$M$42, $R$3:$R$42),
   _xlfn.XLOOKUP(B57, $M$3:$M$42, $R$3:$R$42)
)</f>
        <v>4</v>
      </c>
      <c r="F57" s="4">
        <v>0.15656806553853583</v>
      </c>
      <c r="G57" s="4">
        <v>3.8461538461538464E-2</v>
      </c>
      <c r="H57" s="22">
        <v>1</v>
      </c>
      <c r="I57" s="42">
        <v>-67.074555939998888</v>
      </c>
      <c r="J57" s="42">
        <v>-9.8366852984570823</v>
      </c>
      <c r="K57" s="40">
        <v>-14.560946381536976</v>
      </c>
      <c r="L57" s="21"/>
    </row>
    <row r="58" spans="1:12" x14ac:dyDescent="0.3">
      <c r="A58" s="7" t="s">
        <v>16</v>
      </c>
      <c r="B58" s="1" t="s">
        <v>32</v>
      </c>
      <c r="C58" s="1">
        <v>1.0159500000000001</v>
      </c>
      <c r="D58" s="2">
        <v>4</v>
      </c>
      <c r="E58" s="3">
        <f>AVERAGE(
   _xlfn.XLOOKUP(A58, $M$3:$M$42, $R$3:$R$42),
   _xlfn.XLOOKUP(B58, $M$3:$M$42, $R$3:$R$42)
)</f>
        <v>4</v>
      </c>
      <c r="F58" s="4">
        <v>5.748347129963479E-2</v>
      </c>
      <c r="G58" s="4">
        <v>7.6923076923076927E-2</v>
      </c>
      <c r="H58" s="22">
        <v>1</v>
      </c>
      <c r="I58" s="42">
        <v>-67.983901776659323</v>
      </c>
      <c r="J58" s="42">
        <v>-15.012530183560374</v>
      </c>
      <c r="K58" s="40">
        <v>-14.234945958622692</v>
      </c>
      <c r="L58" s="21"/>
    </row>
    <row r="59" spans="1:12" x14ac:dyDescent="0.3">
      <c r="A59" s="7" t="s">
        <v>17</v>
      </c>
      <c r="B59" s="1" t="s">
        <v>32</v>
      </c>
      <c r="C59" s="1">
        <v>2.7264299999999997</v>
      </c>
      <c r="D59" s="2">
        <v>3.75</v>
      </c>
      <c r="E59" s="3">
        <f>AVERAGE(
   _xlfn.XLOOKUP(A59, $M$3:$M$42, $R$3:$R$42),
   _xlfn.XLOOKUP(B59, $M$3:$M$42, $R$3:$R$42)
)</f>
        <v>4</v>
      </c>
      <c r="F59" s="4">
        <v>0.22398530522610641</v>
      </c>
      <c r="G59" s="4">
        <v>3.8461538461538464E-2</v>
      </c>
      <c r="H59" s="22">
        <v>1</v>
      </c>
      <c r="I59" s="42">
        <v>-66.063297344685324</v>
      </c>
      <c r="J59" s="42">
        <v>-5.7916509172028476</v>
      </c>
      <c r="K59" s="40">
        <v>-13.212601587785567</v>
      </c>
      <c r="L59" s="21"/>
    </row>
    <row r="60" spans="1:12" x14ac:dyDescent="0.3">
      <c r="A60" s="7" t="s">
        <v>18</v>
      </c>
      <c r="B60" s="1" t="s">
        <v>34</v>
      </c>
      <c r="C60" s="1">
        <v>2.9937300000000002</v>
      </c>
      <c r="D60" s="2">
        <v>6</v>
      </c>
      <c r="E60" s="3">
        <f>AVERAGE(
   _xlfn.XLOOKUP(A60, $M$3:$M$42, $R$3:$R$42),
   _xlfn.XLOOKUP(B60, $M$3:$M$42, $R$3:$R$42)
)</f>
        <v>3</v>
      </c>
      <c r="F60" s="4">
        <v>0.25000486710847042</v>
      </c>
      <c r="G60" s="4">
        <v>0.38461538461538464</v>
      </c>
      <c r="H60" s="22">
        <v>0.75</v>
      </c>
      <c r="I60" s="42">
        <v>-42.980696224142164</v>
      </c>
      <c r="J60" s="42">
        <v>7.6925997188159148</v>
      </c>
      <c r="K60" s="40">
        <v>13.077020419092483</v>
      </c>
      <c r="L60" s="21"/>
    </row>
    <row r="61" spans="1:12" x14ac:dyDescent="0.3">
      <c r="A61" s="7" t="s">
        <v>19</v>
      </c>
      <c r="B61" s="1" t="s">
        <v>34</v>
      </c>
      <c r="C61" s="1">
        <v>3.87304</v>
      </c>
      <c r="D61" s="2">
        <v>6.5</v>
      </c>
      <c r="E61" s="3">
        <f>AVERAGE(
   _xlfn.XLOOKUP(A61, $M$3:$M$42, $R$3:$R$42),
   _xlfn.XLOOKUP(B61, $M$3:$M$42, $R$3:$R$42)
)</f>
        <v>3</v>
      </c>
      <c r="F61" s="4">
        <v>0.33559881008932124</v>
      </c>
      <c r="G61" s="4">
        <v>0.46153846153846156</v>
      </c>
      <c r="H61" s="22">
        <v>0.75</v>
      </c>
      <c r="I61" s="42">
        <v>-40.542940925583245</v>
      </c>
      <c r="J61" s="42">
        <v>14.366697836128505</v>
      </c>
      <c r="K61" s="40">
        <v>19.404283894094114</v>
      </c>
      <c r="L61" s="21"/>
    </row>
    <row r="62" spans="1:12" x14ac:dyDescent="0.3">
      <c r="A62" s="7" t="s">
        <v>20</v>
      </c>
      <c r="B62" s="1" t="s">
        <v>34</v>
      </c>
      <c r="C62" s="1">
        <v>2.3480700000000003</v>
      </c>
      <c r="D62" s="2">
        <v>6.5</v>
      </c>
      <c r="E62" s="3">
        <f>AVERAGE(
   _xlfn.XLOOKUP(A62, $M$3:$M$42, $R$3:$R$42),
   _xlfn.XLOOKUP(B62, $M$3:$M$42, $R$3:$R$42)
)</f>
        <v>3</v>
      </c>
      <c r="F62" s="4">
        <v>0.18715492200945394</v>
      </c>
      <c r="G62" s="4">
        <v>0.46153846153846156</v>
      </c>
      <c r="H62" s="22">
        <v>0.75</v>
      </c>
      <c r="I62" s="42">
        <v>-42.769599246781262</v>
      </c>
      <c r="J62" s="42">
        <v>5.4600645513364636</v>
      </c>
      <c r="K62" s="40">
        <v>16.435406132496773</v>
      </c>
      <c r="L62" s="21"/>
    </row>
    <row r="63" spans="1:12" x14ac:dyDescent="0.3">
      <c r="A63" s="7" t="s">
        <v>21</v>
      </c>
      <c r="B63" s="1" t="s">
        <v>34</v>
      </c>
      <c r="C63" s="1">
        <v>5.1822499999999998</v>
      </c>
      <c r="D63" s="2">
        <v>7</v>
      </c>
      <c r="E63" s="3">
        <f>AVERAGE(
   _xlfn.XLOOKUP(A63, $M$3:$M$42, $R$3:$R$42),
   _xlfn.XLOOKUP(B63, $M$3:$M$42, $R$3:$R$42)
)</f>
        <v>4</v>
      </c>
      <c r="F63" s="4">
        <v>0.46304015169803686</v>
      </c>
      <c r="G63" s="4">
        <v>0.53846153846153844</v>
      </c>
      <c r="H63" s="22">
        <v>1</v>
      </c>
      <c r="I63" s="42">
        <v>-54.977474647606364</v>
      </c>
      <c r="J63" s="42">
        <v>18.551639871112979</v>
      </c>
      <c r="K63" s="40">
        <v>21.568495341653044</v>
      </c>
      <c r="L63" s="21"/>
    </row>
    <row r="64" spans="1:12" x14ac:dyDescent="0.3">
      <c r="A64" s="7" t="s">
        <v>22</v>
      </c>
      <c r="B64" s="1" t="s">
        <v>32</v>
      </c>
      <c r="C64" s="1">
        <v>6.9265799999999995</v>
      </c>
      <c r="D64" s="2">
        <v>5.25</v>
      </c>
      <c r="E64" s="3">
        <f>AVERAGE(
   _xlfn.XLOOKUP(A64, $M$3:$M$42, $R$3:$R$42),
   _xlfn.XLOOKUP(B64, $M$3:$M$42, $R$3:$R$42)
)</f>
        <v>3.5</v>
      </c>
      <c r="F64" s="4">
        <v>0.63283701805891934</v>
      </c>
      <c r="G64" s="4">
        <v>0.26923076923076922</v>
      </c>
      <c r="H64" s="22">
        <v>0.875</v>
      </c>
      <c r="I64" s="42">
        <v>-47.718983190654662</v>
      </c>
      <c r="J64" s="42">
        <v>25.854836468150545</v>
      </c>
      <c r="K64" s="40">
        <v>11.310586515024537</v>
      </c>
      <c r="L64" s="21"/>
    </row>
    <row r="65" spans="1:12" x14ac:dyDescent="0.3">
      <c r="A65" s="7" t="s">
        <v>22</v>
      </c>
      <c r="B65" s="1" t="s">
        <v>35</v>
      </c>
      <c r="C65" s="1">
        <v>5.3456800000000007</v>
      </c>
      <c r="D65" s="2">
        <v>5.75</v>
      </c>
      <c r="E65" s="3">
        <f>AVERAGE(
   _xlfn.XLOOKUP(A65, $M$3:$M$42, $R$3:$R$42),
   _xlfn.XLOOKUP(B65, $M$3:$M$42, $R$3:$R$42)
)</f>
        <v>3</v>
      </c>
      <c r="F65" s="4">
        <v>0.47894878244414524</v>
      </c>
      <c r="G65" s="4">
        <v>0.34615384615384615</v>
      </c>
      <c r="H65" s="22">
        <v>0.75</v>
      </c>
      <c r="I65" s="42">
        <v>-40.123460571030122</v>
      </c>
      <c r="J65" s="42">
        <v>20.660003869725628</v>
      </c>
      <c r="K65" s="40">
        <v>15.348206418113669</v>
      </c>
      <c r="L65" s="21"/>
    </row>
    <row r="66" spans="1:12" x14ac:dyDescent="0.3">
      <c r="A66" s="7" t="s">
        <v>22</v>
      </c>
      <c r="B66" s="1" t="s">
        <v>34</v>
      </c>
      <c r="C66" s="1">
        <v>6.2973299999999997</v>
      </c>
      <c r="D66" s="2">
        <v>6.25</v>
      </c>
      <c r="E66" s="3">
        <f>AVERAGE(
   _xlfn.XLOOKUP(A66, $M$3:$M$42, $R$3:$R$42),
   _xlfn.XLOOKUP(B66, $M$3:$M$42, $R$3:$R$42)
)</f>
        <v>3</v>
      </c>
      <c r="F66" s="4">
        <v>0.5715844579598639</v>
      </c>
      <c r="G66" s="4">
        <v>0.42307692307692307</v>
      </c>
      <c r="H66" s="22">
        <v>0.75</v>
      </c>
      <c r="I66" s="42">
        <v>-37.580079284448189</v>
      </c>
      <c r="J66" s="42">
        <v>27.756605939130296</v>
      </c>
      <c r="K66" s="40">
        <v>21.816304543812659</v>
      </c>
      <c r="L66" s="21"/>
    </row>
    <row r="67" spans="1:12" x14ac:dyDescent="0.3">
      <c r="A67" s="7" t="s">
        <v>23</v>
      </c>
      <c r="B67" s="1" t="s">
        <v>34</v>
      </c>
      <c r="C67" s="1">
        <v>4.2621899999999995</v>
      </c>
      <c r="D67" s="2">
        <v>5.5</v>
      </c>
      <c r="E67" s="3">
        <f>AVERAGE(
   _xlfn.XLOOKUP(A67, $M$3:$M$42, $R$3:$R$42),
   _xlfn.XLOOKUP(B67, $M$3:$M$42, $R$3:$R$42)
)</f>
        <v>4</v>
      </c>
      <c r="F67" s="4">
        <v>0.37347951531387014</v>
      </c>
      <c r="G67" s="4">
        <v>0.30769230769230771</v>
      </c>
      <c r="H67" s="22">
        <v>1</v>
      </c>
      <c r="I67" s="42">
        <v>-59.782422654907329</v>
      </c>
      <c r="J67" s="42">
        <v>8.5626170726783641</v>
      </c>
      <c r="K67" s="40">
        <v>5.9311287678158635</v>
      </c>
      <c r="L67" s="21"/>
    </row>
    <row r="68" spans="1:12" x14ac:dyDescent="0.3">
      <c r="A68" s="7" t="s">
        <v>24</v>
      </c>
      <c r="B68" s="1" t="s">
        <v>34</v>
      </c>
      <c r="C68" s="1">
        <v>10.698459999999999</v>
      </c>
      <c r="D68" s="2">
        <v>7</v>
      </c>
      <c r="E68" s="3">
        <f>AVERAGE(
   _xlfn.XLOOKUP(A68, $M$3:$M$42, $R$3:$R$42),
   _xlfn.XLOOKUP(B68, $M$3:$M$42, $R$3:$R$42)
)</f>
        <v>4</v>
      </c>
      <c r="F68" s="4">
        <v>1</v>
      </c>
      <c r="G68" s="4">
        <v>0.53846153846153844</v>
      </c>
      <c r="H68" s="22">
        <v>1</v>
      </c>
      <c r="I68" s="42">
        <v>-46.92307692307692</v>
      </c>
      <c r="J68" s="42">
        <v>50.769230769230766</v>
      </c>
      <c r="K68" s="40">
        <v>32.307692307692299</v>
      </c>
      <c r="L68" s="21"/>
    </row>
    <row r="69" spans="1:12" x14ac:dyDescent="0.3">
      <c r="A69" s="7" t="s">
        <v>25</v>
      </c>
      <c r="B69" s="1" t="s">
        <v>35</v>
      </c>
      <c r="C69" s="1">
        <v>9.8458500000000004</v>
      </c>
      <c r="D69" s="2">
        <v>6.25</v>
      </c>
      <c r="E69" s="3">
        <f>AVERAGE(
   _xlfn.XLOOKUP(A69, $M$3:$M$42, $R$3:$R$42),
   _xlfn.XLOOKUP(B69, $M$3:$M$42, $R$3:$R$42)
)</f>
        <v>4</v>
      </c>
      <c r="F69" s="4">
        <v>0.91700509294230348</v>
      </c>
      <c r="G69" s="4">
        <v>0.42307692307692307</v>
      </c>
      <c r="H69" s="22">
        <v>1</v>
      </c>
      <c r="I69" s="42">
        <v>-49.898769759711598</v>
      </c>
      <c r="J69" s="42">
        <v>43.481844038076673</v>
      </c>
      <c r="K69" s="40">
        <v>23.724717243461452</v>
      </c>
      <c r="L69" s="21"/>
    </row>
    <row r="70" spans="1:12" x14ac:dyDescent="0.3">
      <c r="A70" s="7" t="s">
        <v>26</v>
      </c>
      <c r="B70" s="1" t="s">
        <v>35</v>
      </c>
      <c r="C70" s="1">
        <v>1.8849</v>
      </c>
      <c r="D70" s="2">
        <v>6</v>
      </c>
      <c r="E70" s="3">
        <f>AVERAGE(
   _xlfn.XLOOKUP(A70, $M$3:$M$42, $R$3:$R$42),
   _xlfn.XLOOKUP(B70, $M$3:$M$42, $R$3:$R$42)
)</f>
        <v>3</v>
      </c>
      <c r="F70" s="4">
        <v>0.14206894940543408</v>
      </c>
      <c r="G70" s="4">
        <v>0.38461538461538464</v>
      </c>
      <c r="H70" s="22">
        <v>0.75</v>
      </c>
      <c r="I70" s="42">
        <v>-44.599734989687711</v>
      </c>
      <c r="J70" s="42">
        <v>1.2164446566337361</v>
      </c>
      <c r="K70" s="40">
        <v>10.91830206503176</v>
      </c>
      <c r="L70" s="21"/>
    </row>
    <row r="71" spans="1:12" x14ac:dyDescent="0.3">
      <c r="A71" s="7" t="s">
        <v>27</v>
      </c>
      <c r="B71" s="1" t="s">
        <v>30</v>
      </c>
      <c r="C71" s="1">
        <v>7.7907799999999998</v>
      </c>
      <c r="D71" s="2">
        <v>5.25</v>
      </c>
      <c r="E71" s="3">
        <f>AVERAGE(
   _xlfn.XLOOKUP(A71, $M$3:$M$42, $R$3:$R$42),
   _xlfn.XLOOKUP(B71, $M$3:$M$42, $R$3:$R$42)
)</f>
        <v>1</v>
      </c>
      <c r="F71" s="4">
        <v>0.71696012086003769</v>
      </c>
      <c r="G71" s="4">
        <v>0.26923076923076922</v>
      </c>
      <c r="H71" s="22">
        <v>0.25</v>
      </c>
      <c r="I71" s="42">
        <v>-2.7071366486378978</v>
      </c>
      <c r="J71" s="42">
        <v>43.402222636217644</v>
      </c>
      <c r="K71" s="40">
        <v>25.493048571046913</v>
      </c>
      <c r="L71" s="21"/>
    </row>
    <row r="72" spans="1:12" x14ac:dyDescent="0.3">
      <c r="A72" s="7" t="s">
        <v>27</v>
      </c>
      <c r="B72" s="1" t="s">
        <v>29</v>
      </c>
      <c r="C72" s="1">
        <v>6.35806</v>
      </c>
      <c r="D72" s="2">
        <v>5.75</v>
      </c>
      <c r="E72" s="3">
        <f>AVERAGE(
   _xlfn.XLOOKUP(A72, $M$3:$M$42, $R$3:$R$42),
   _xlfn.XLOOKUP(B72, $M$3:$M$42, $R$3:$R$42)
)</f>
        <v>1</v>
      </c>
      <c r="F72" s="4">
        <v>0.57749604790792219</v>
      </c>
      <c r="G72" s="4">
        <v>0.34615384615384615</v>
      </c>
      <c r="H72" s="22">
        <v>0.25</v>
      </c>
      <c r="I72" s="42">
        <v>-3.6452515890734727</v>
      </c>
      <c r="J72" s="42">
        <v>36.572839797552255</v>
      </c>
      <c r="K72" s="40">
        <v>27.319151727389212</v>
      </c>
      <c r="L72" s="21"/>
    </row>
    <row r="73" spans="1:12" x14ac:dyDescent="0.3">
      <c r="A73" s="7" t="s">
        <v>27</v>
      </c>
      <c r="B73" s="1" t="s">
        <v>28</v>
      </c>
      <c r="C73" s="1">
        <v>5.1407299999999996</v>
      </c>
      <c r="D73" s="2">
        <v>6.25</v>
      </c>
      <c r="E73" s="3">
        <f>AVERAGE(
   _xlfn.XLOOKUP(A73, $M$3:$M$42, $R$3:$R$42),
   _xlfn.XLOOKUP(B73, $M$3:$M$42, $R$3:$R$42)
)</f>
        <v>1</v>
      </c>
      <c r="F73" s="4">
        <v>0.45899850482427795</v>
      </c>
      <c r="G73" s="4">
        <v>0.42307692307692307</v>
      </c>
      <c r="H73" s="22">
        <v>0.25</v>
      </c>
      <c r="I73" s="42">
        <v>-4.2688685814819829</v>
      </c>
      <c r="J73" s="42">
        <v>31.001448750995138</v>
      </c>
      <c r="K73" s="40">
        <v>29.564585481100941</v>
      </c>
      <c r="L73" s="21"/>
    </row>
    <row r="74" spans="1:12" x14ac:dyDescent="0.3">
      <c r="A74" s="7" t="s">
        <v>45</v>
      </c>
      <c r="B74" s="1" t="s">
        <v>32</v>
      </c>
      <c r="C74" s="1">
        <v>2.7826599999999999</v>
      </c>
      <c r="D74" s="2">
        <v>3.75</v>
      </c>
      <c r="E74" s="3">
        <f>AVERAGE(
   _xlfn.XLOOKUP(A74, $M$3:$M$42, $R$3:$R$42),
   _xlfn.XLOOKUP(B74, $M$3:$M$42, $R$3:$R$42)
)</f>
        <v>2</v>
      </c>
      <c r="F74" s="4">
        <v>0.22945885541183531</v>
      </c>
      <c r="G74" s="4">
        <v>3.8461538461538464E-2</v>
      </c>
      <c r="H74" s="22">
        <v>0.5</v>
      </c>
      <c r="I74" s="42">
        <v>-30.98119409189939</v>
      </c>
      <c r="J74" s="42">
        <v>4.5367620939408857</v>
      </c>
      <c r="K74" s="40">
        <v>-3.1031305840709873</v>
      </c>
      <c r="L74" s="21"/>
    </row>
    <row r="75" spans="1:12" x14ac:dyDescent="0.3">
      <c r="A75" s="7" t="s">
        <v>47</v>
      </c>
      <c r="B75" s="1" t="s">
        <v>28</v>
      </c>
      <c r="C75" s="1">
        <v>6.8925900000000002</v>
      </c>
      <c r="D75" s="2">
        <v>5.875</v>
      </c>
      <c r="E75" s="3">
        <f>AVERAGE(
   _xlfn.XLOOKUP(A75, $M$3:$M$42, $R$3:$R$42),
   _xlfn.XLOOKUP(B75, $M$3:$M$42, $R$3:$R$42)
)</f>
        <v>0.5</v>
      </c>
      <c r="F75" s="4">
        <v>0.62952835772079163</v>
      </c>
      <c r="G75" s="4">
        <v>0.36538461538461536</v>
      </c>
      <c r="H75" s="22">
        <v>0.125</v>
      </c>
      <c r="I75" s="42">
        <v>6.1736945965811056</v>
      </c>
      <c r="J75" s="42">
        <v>42.579393770939802</v>
      </c>
      <c r="K75" s="40">
        <v>32.013644077492756</v>
      </c>
      <c r="L75" s="21"/>
    </row>
    <row r="76" spans="1:12" x14ac:dyDescent="0.3">
      <c r="A76" s="7" t="s">
        <v>48</v>
      </c>
      <c r="B76" s="1" t="s">
        <v>34</v>
      </c>
      <c r="C76" s="1">
        <v>2.4330500000000002</v>
      </c>
      <c r="D76" s="2">
        <v>5.5</v>
      </c>
      <c r="E76" s="3">
        <f>AVERAGE(
   _xlfn.XLOOKUP(A76, $M$3:$M$42, $R$3:$R$42),
   _xlfn.XLOOKUP(B76, $M$3:$M$42, $R$3:$R$42)
)</f>
        <v>1.5</v>
      </c>
      <c r="F76" s="4">
        <v>0.19542705956562037</v>
      </c>
      <c r="G76" s="4">
        <v>0.30769230769230771</v>
      </c>
      <c r="H76" s="22">
        <v>0.375</v>
      </c>
      <c r="I76" s="42">
        <v>-18.703209491131073</v>
      </c>
      <c r="J76" s="42">
        <v>10.379469727783375</v>
      </c>
      <c r="K76" s="40">
        <v>14.870079652850871</v>
      </c>
      <c r="L76" s="21"/>
    </row>
    <row r="77" spans="1:12" x14ac:dyDescent="0.3">
      <c r="A77" s="7" t="s">
        <v>49</v>
      </c>
      <c r="B77" s="1" t="s">
        <v>35</v>
      </c>
      <c r="C77" s="1">
        <v>9.4990100000000002</v>
      </c>
      <c r="D77" s="2">
        <v>6</v>
      </c>
      <c r="E77" s="3">
        <f>AVERAGE(
   _xlfn.XLOOKUP(A77, $M$3:$M$42, $R$3:$R$42),
   _xlfn.XLOOKUP(B77, $M$3:$M$42, $R$3:$R$42)
)</f>
        <v>1.5</v>
      </c>
      <c r="F77" s="4">
        <v>0.88324293490534456</v>
      </c>
      <c r="G77" s="4">
        <v>0.38461538461538464</v>
      </c>
      <c r="H77" s="22">
        <v>0.375</v>
      </c>
      <c r="I77" s="42">
        <v>-7.2321252071890605</v>
      </c>
      <c r="J77" s="42">
        <v>53.186883786628371</v>
      </c>
      <c r="K77" s="40">
        <v>33.24178177502997</v>
      </c>
      <c r="L77" s="21"/>
    </row>
    <row r="78" spans="1:12" x14ac:dyDescent="0.3">
      <c r="A78" s="7" t="s">
        <v>49</v>
      </c>
      <c r="B78" s="1" t="s">
        <v>34</v>
      </c>
      <c r="C78" s="1">
        <v>9.1084200000000006</v>
      </c>
      <c r="D78" s="2">
        <v>6.5</v>
      </c>
      <c r="E78" s="3">
        <f>AVERAGE(
   _xlfn.XLOOKUP(A78, $M$3:$M$42, $R$3:$R$42),
   _xlfn.XLOOKUP(B78, $M$3:$M$42, $R$3:$R$42)
)</f>
        <v>1.5</v>
      </c>
      <c r="F78" s="4">
        <v>0.84522205695685027</v>
      </c>
      <c r="G78" s="4">
        <v>0.46153846153846156</v>
      </c>
      <c r="H78" s="22">
        <v>0.375</v>
      </c>
      <c r="I78" s="42">
        <v>-6.6485922225703185</v>
      </c>
      <c r="J78" s="42">
        <v>52.444092648180238</v>
      </c>
      <c r="K78" s="40">
        <v>37.0967488314447</v>
      </c>
      <c r="L78" s="21"/>
    </row>
    <row r="79" spans="1:12" x14ac:dyDescent="0.3">
      <c r="A79" s="7" t="s">
        <v>50</v>
      </c>
      <c r="B79" s="1" t="s">
        <v>30</v>
      </c>
      <c r="C79" s="1">
        <v>3.7203600000000003</v>
      </c>
      <c r="D79" s="2">
        <v>6</v>
      </c>
      <c r="E79" s="3">
        <f>AVERAGE(
   _xlfn.XLOOKUP(A79, $M$3:$M$42, $R$3:$R$42),
   _xlfn.XLOOKUP(B79, $M$3:$M$42, $R$3:$R$42)
)</f>
        <v>0.5</v>
      </c>
      <c r="F79" s="4">
        <v>0.32073660766433315</v>
      </c>
      <c r="G79" s="4">
        <v>0.38461538461538464</v>
      </c>
      <c r="H79" s="22">
        <v>0.125</v>
      </c>
      <c r="I79" s="42">
        <v>1.8302798841957679</v>
      </c>
      <c r="J79" s="42">
        <v>24.436504152167686</v>
      </c>
      <c r="K79" s="40">
        <v>26.991655230209737</v>
      </c>
      <c r="L79" s="21"/>
    </row>
    <row r="80" spans="1:12" x14ac:dyDescent="0.3">
      <c r="A80" s="7" t="s">
        <v>50</v>
      </c>
      <c r="B80" s="1" t="s">
        <v>29</v>
      </c>
      <c r="C80" s="1">
        <v>2.3250700000000002</v>
      </c>
      <c r="D80" s="2">
        <v>6.5</v>
      </c>
      <c r="E80" s="3">
        <f>AVERAGE(
   _xlfn.XLOOKUP(A80, $M$3:$M$42, $R$3:$R$42),
   _xlfn.XLOOKUP(B80, $M$3:$M$42, $R$3:$R$42)
)</f>
        <v>0.5</v>
      </c>
      <c r="F80" s="4">
        <v>0.18491605211310388</v>
      </c>
      <c r="G80" s="4">
        <v>0.46153846153846156</v>
      </c>
      <c r="H80" s="22">
        <v>0.125</v>
      </c>
      <c r="I80" s="42">
        <v>0.94681770477348248</v>
      </c>
      <c r="J80" s="42">
        <v>17.825732357555466</v>
      </c>
      <c r="K80" s="40">
        <v>28.890628734569766</v>
      </c>
      <c r="L80" s="21"/>
    </row>
    <row r="81" spans="1:12" x14ac:dyDescent="0.3">
      <c r="A81" s="8" t="s">
        <v>50</v>
      </c>
      <c r="B81" s="9" t="s">
        <v>28</v>
      </c>
      <c r="C81" s="9">
        <v>1.90046</v>
      </c>
      <c r="D81" s="10">
        <v>7</v>
      </c>
      <c r="E81" s="11">
        <f>AVERAGE(
   _xlfn.XLOOKUP(A81, $M$3:$M$42, $R$3:$R$42),
   _xlfn.XLOOKUP(B81, $M$3:$M$42, $R$3:$R$42)
)</f>
        <v>0.5</v>
      </c>
      <c r="F81" s="25">
        <v>0.14358359356139958</v>
      </c>
      <c r="G81" s="25">
        <v>0.53846153846153844</v>
      </c>
      <c r="H81" s="27">
        <v>0.125</v>
      </c>
      <c r="I81" s="42">
        <v>1.48067698034407</v>
      </c>
      <c r="J81" s="42">
        <v>16.884246382914743</v>
      </c>
      <c r="K81" s="40">
        <v>32.679364178920295</v>
      </c>
      <c r="L81" s="21"/>
    </row>
  </sheetData>
  <mergeCells count="4">
    <mergeCell ref="A1:K1"/>
    <mergeCell ref="M1:R1"/>
    <mergeCell ref="U6:W6"/>
    <mergeCell ref="T6:T7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45F808A92BD459FDE81F52B4E4C19" ma:contentTypeVersion="6" ma:contentTypeDescription="Create a new document." ma:contentTypeScope="" ma:versionID="534ff1ae5478baca09ee4d90067579fe">
  <xsd:schema xmlns:xsd="http://www.w3.org/2001/XMLSchema" xmlns:xs="http://www.w3.org/2001/XMLSchema" xmlns:p="http://schemas.microsoft.com/office/2006/metadata/properties" xmlns:ns3="e6823a17-f351-4c15-bb5c-123acbe74039" targetNamespace="http://schemas.microsoft.com/office/2006/metadata/properties" ma:root="true" ma:fieldsID="44f51e8933f6f6ea3a315496ce974e2d" ns3:_="">
    <xsd:import namespace="e6823a17-f351-4c15-bb5c-123acbe740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23a17-f351-4c15-bb5c-123acbe740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6823a17-f351-4c15-bb5c-123acbe74039" xsi:nil="true"/>
  </documentManagement>
</p:properties>
</file>

<file path=customXml/itemProps1.xml><?xml version="1.0" encoding="utf-8"?>
<ds:datastoreItem xmlns:ds="http://schemas.openxmlformats.org/officeDocument/2006/customXml" ds:itemID="{2E6AB4AF-C0AD-4274-BE57-ABB2595326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29C1B8-2B6C-4698-85E6-F3CE61EEAE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823a17-f351-4c15-bb5c-123acbe740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D4197E-CD0D-4B0B-8E13-18D0BE68F9F3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e6823a17-f351-4c15-bb5c-123acbe7403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khlifhassine</dc:creator>
  <cp:lastModifiedBy>khlifhassine</cp:lastModifiedBy>
  <dcterms:created xsi:type="dcterms:W3CDTF">2025-12-01T22:09:25Z</dcterms:created>
  <dcterms:modified xsi:type="dcterms:W3CDTF">2025-12-06T13:17:52Z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0x01010005F45F808A92BD459FDE81F52B4E4C19</vt:lpwstr>
  </property>
</Properties>
</file>